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HDUS TECHNOLOGY\Downloads\Ahdus Branding\"/>
    </mc:Choice>
  </mc:AlternateContent>
  <xr:revisionPtr revIDLastSave="0" documentId="13_ncr:1_{72D42418-4BF2-4452-AEC2-6572989EF076}" xr6:coauthVersionLast="47" xr6:coauthVersionMax="47" xr10:uidLastSave="{00000000-0000-0000-0000-000000000000}"/>
  <bookViews>
    <workbookView xWindow="-110" yWindow="-110" windowWidth="19420" windowHeight="10420" firstSheet="4" activeTab="5" xr2:uid="{E0021C30-1089-4BDD-B21F-A24359AC7BAE}"/>
  </bookViews>
  <sheets>
    <sheet name="LinkedIn Posts" sheetId="3" r:id="rId1"/>
    <sheet name="LinkedIn Metrics" sheetId="5" r:id="rId2"/>
    <sheet name="Insights from LinkedIn Data" sheetId="6" r:id="rId3"/>
    <sheet name="Instagram" sheetId="1" r:id="rId4"/>
    <sheet name="Insights from Instagarm Data" sheetId="4" r:id="rId5"/>
    <sheet name="LinkedIn Analytics" sheetId="2" r:id="rId6"/>
    <sheet name="Instagram Analytic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AK40" i="1"/>
  <c r="AK37" i="1"/>
  <c r="AK39" i="1"/>
  <c r="AK35" i="1"/>
  <c r="AK29" i="1"/>
  <c r="AK24" i="1"/>
  <c r="AK5" i="1"/>
</calcChain>
</file>

<file path=xl/sharedStrings.xml><?xml version="1.0" encoding="utf-8"?>
<sst xmlns="http://schemas.openxmlformats.org/spreadsheetml/2006/main" count="1451" uniqueCount="682">
  <si>
    <t>Date</t>
  </si>
  <si>
    <t>Time</t>
  </si>
  <si>
    <t>Likes</t>
  </si>
  <si>
    <t>Comments</t>
  </si>
  <si>
    <t>Shares</t>
  </si>
  <si>
    <t>Saves</t>
  </si>
  <si>
    <t>Views</t>
  </si>
  <si>
    <t>Interactions</t>
  </si>
  <si>
    <t>Profile Activity</t>
  </si>
  <si>
    <t>Followers</t>
  </si>
  <si>
    <t>Non-followers</t>
  </si>
  <si>
    <t>Profile Visits</t>
  </si>
  <si>
    <t>Follows</t>
  </si>
  <si>
    <t>Profile</t>
  </si>
  <si>
    <t>Home</t>
  </si>
  <si>
    <t>Other</t>
  </si>
  <si>
    <t>Reach</t>
  </si>
  <si>
    <t>Day</t>
  </si>
  <si>
    <t>Friday</t>
  </si>
  <si>
    <t>Mudassir Birthday Post</t>
  </si>
  <si>
    <t>Wednesday</t>
  </si>
  <si>
    <t>Sunday</t>
  </si>
  <si>
    <t>Watch Time</t>
  </si>
  <si>
    <t>Average Watch Time</t>
  </si>
  <si>
    <t>5h 27m 10s</t>
  </si>
  <si>
    <t>8s</t>
  </si>
  <si>
    <t>Ahdus x MLSA - Tech Competition Launch Video (Collab post from MLSA-SZABIST)</t>
  </si>
  <si>
    <t>Tech Competition Launch Event Post (Collab Post with MLSA SZABIST)</t>
  </si>
  <si>
    <t>22/1/2025</t>
  </si>
  <si>
    <t>Explore</t>
  </si>
  <si>
    <t>External Link Taps</t>
  </si>
  <si>
    <t>Tech Competition Launch Event Reel</t>
  </si>
  <si>
    <t>Type of Post</t>
  </si>
  <si>
    <t>Post Title</t>
  </si>
  <si>
    <t>Static Post</t>
  </si>
  <si>
    <t>Reel</t>
  </si>
  <si>
    <t>Carousel Post</t>
  </si>
  <si>
    <t>24/1/2025</t>
  </si>
  <si>
    <t>Duration</t>
  </si>
  <si>
    <t>Instagram</t>
  </si>
  <si>
    <t>Facebook</t>
  </si>
  <si>
    <t>54m 18s</t>
  </si>
  <si>
    <t>9s</t>
  </si>
  <si>
    <t>View rate past first 3 seconds</t>
  </si>
  <si>
    <t>Facebook Reactions</t>
  </si>
  <si>
    <t>Kashmir Day - Team Activity</t>
  </si>
  <si>
    <t>DeepSeek Vs. ChatGPT</t>
  </si>
  <si>
    <t>1h 34m 5s</t>
  </si>
  <si>
    <t>13s</t>
  </si>
  <si>
    <t>Hafsa Welcome Post</t>
  </si>
  <si>
    <t>13/2/2025</t>
  </si>
  <si>
    <t>Thursday</t>
  </si>
  <si>
    <t>1h 5m 50s</t>
  </si>
  <si>
    <t>10s</t>
  </si>
  <si>
    <t>Team Hi-Tea Reel</t>
  </si>
  <si>
    <t>Saturday</t>
  </si>
  <si>
    <t>1h 21m 53s</t>
  </si>
  <si>
    <t>Hifza Birthday Post</t>
  </si>
  <si>
    <t>Monday</t>
  </si>
  <si>
    <t>CodeFlow Design Battle Onset (Collab post from MLSA-SZABIST)</t>
  </si>
  <si>
    <t>Reach/Follows%</t>
  </si>
  <si>
    <t>22/2/2025</t>
  </si>
  <si>
    <t>24/2/2025</t>
  </si>
  <si>
    <t>27/2/2025</t>
  </si>
  <si>
    <t>Ramadan Mubarak</t>
  </si>
  <si>
    <t>Taimoor's Work Anniversary</t>
  </si>
  <si>
    <t>Tuesday</t>
  </si>
  <si>
    <t>1h 19m 21s</t>
  </si>
  <si>
    <t>Ramadan Gift Boxes</t>
  </si>
  <si>
    <t>Women's Day Post</t>
  </si>
  <si>
    <t>Saliha Birthday Post</t>
  </si>
  <si>
    <t>Taimoor's Work Anniversary Celebration</t>
  </si>
  <si>
    <t>13/3/2025</t>
  </si>
  <si>
    <t>1h 1m 15s</t>
  </si>
  <si>
    <t>CodeFlow Deadline Extension (Collab post from MLSA SZABIST)</t>
  </si>
  <si>
    <t>Team Aftari</t>
  </si>
  <si>
    <t>1h 11m 49s</t>
  </si>
  <si>
    <t>Iram Welcome Post</t>
  </si>
  <si>
    <t>2h 3m 31s</t>
  </si>
  <si>
    <t>12s</t>
  </si>
  <si>
    <t>Happy Easter</t>
  </si>
  <si>
    <t>Reels Tab</t>
  </si>
  <si>
    <t>Feed</t>
  </si>
  <si>
    <t>Stories</t>
  </si>
  <si>
    <t>Search</t>
  </si>
  <si>
    <t>Males</t>
  </si>
  <si>
    <t>Females</t>
  </si>
  <si>
    <t>Age</t>
  </si>
  <si>
    <t>25-34
18-24
35-44</t>
  </si>
  <si>
    <t>Fun Friday (Whisper Challenge)</t>
  </si>
  <si>
    <t>3h 5m 20s</t>
  </si>
  <si>
    <t>17s</t>
  </si>
  <si>
    <t xml:space="preserve">Team Activity - Lunch </t>
  </si>
  <si>
    <t>CodeFlow Design Battle Roadmap</t>
  </si>
  <si>
    <t>Fahad Birthday Post</t>
  </si>
  <si>
    <t>WeAreDevelopers Announcement</t>
  </si>
  <si>
    <t>WeAreDevelopers - Tech Founders in Berlin (Collab post from Desi Media Germany)</t>
  </si>
  <si>
    <t>21/3/2025</t>
  </si>
  <si>
    <t>22/3/2025</t>
  </si>
  <si>
    <t>20/4/2025</t>
  </si>
  <si>
    <t>23/5/2025</t>
  </si>
  <si>
    <t>28/5/2025</t>
  </si>
  <si>
    <t>23/6/2025</t>
  </si>
  <si>
    <t xml:space="preserve">4h 57m 28s </t>
  </si>
  <si>
    <t>WeAreDevelopers Event Post</t>
  </si>
  <si>
    <t>21/7/2025</t>
  </si>
  <si>
    <t>54m 24s</t>
  </si>
  <si>
    <t>7s</t>
  </si>
  <si>
    <t>KI Festival Post-Event Reel</t>
  </si>
  <si>
    <t>Creativate AI Studio GmbH - Client Testimonial</t>
  </si>
  <si>
    <t>30/7/2025</t>
  </si>
  <si>
    <t>Team Fun Day</t>
  </si>
  <si>
    <t>3h 49m 34s</t>
  </si>
  <si>
    <t>16s</t>
  </si>
  <si>
    <t>Mubashir Birthday</t>
  </si>
  <si>
    <t>48m 47s</t>
  </si>
  <si>
    <t>Senior - Junior Funny Reel</t>
  </si>
  <si>
    <t>4h 15m 2s</t>
  </si>
  <si>
    <t>Team Lead Funny Reel</t>
  </si>
  <si>
    <t>Iram Birthday</t>
  </si>
  <si>
    <t>Manager Asking To Stay After 7 pm - Funny Reel</t>
  </si>
  <si>
    <t>Independence Day</t>
  </si>
  <si>
    <t>14/8/2025</t>
  </si>
  <si>
    <t>Laiba Birthday</t>
  </si>
  <si>
    <t>15/8/2025</t>
  </si>
  <si>
    <t>19/8/2025</t>
  </si>
  <si>
    <t>Manager, Client, Team Funny Reel</t>
  </si>
  <si>
    <t>1h 24m 41s</t>
  </si>
  <si>
    <t>2h 24m 31s</t>
  </si>
  <si>
    <t>3h 49m 3s</t>
  </si>
  <si>
    <t>2h 3m 58s</t>
  </si>
  <si>
    <t>1h 58m 22s</t>
  </si>
  <si>
    <t>Asking brain-teasers from the taem</t>
  </si>
  <si>
    <t>20/8/2025</t>
  </si>
  <si>
    <t>9h 56m 39s</t>
  </si>
  <si>
    <t>23s</t>
  </si>
  <si>
    <t>Muzzamil Welcome Post</t>
  </si>
  <si>
    <t>21/8/2025</t>
  </si>
  <si>
    <t>Fun Friday (Games)</t>
  </si>
  <si>
    <t>22/8/2025</t>
  </si>
  <si>
    <t>1h 12m 13s</t>
  </si>
  <si>
    <t>11s</t>
  </si>
  <si>
    <t>Social Media Manager, Graphic Designer - Funny Reel</t>
  </si>
  <si>
    <t>25/8/2025</t>
  </si>
  <si>
    <t>1h 27m 0s</t>
  </si>
  <si>
    <t>Manager compliments your work - Funny Reel</t>
  </si>
  <si>
    <t>Saliha Work Anniversary</t>
  </si>
  <si>
    <t>27/8/2025</t>
  </si>
  <si>
    <t>28/8/2025</t>
  </si>
  <si>
    <t>Type of Content</t>
  </si>
  <si>
    <t>Tech Events</t>
  </si>
  <si>
    <t>Team Birthday</t>
  </si>
  <si>
    <t>Pakistani Events</t>
  </si>
  <si>
    <t>Informative</t>
  </si>
  <si>
    <t>Employee Welcome</t>
  </si>
  <si>
    <t>Team Activities</t>
  </si>
  <si>
    <t>Work Anniversary</t>
  </si>
  <si>
    <t>Global Events</t>
  </si>
  <si>
    <t>Client Testimonial</t>
  </si>
  <si>
    <t>Memes</t>
  </si>
  <si>
    <t>1. Best Performing Content Types</t>
  </si>
  <si>
    <t>3. Audience Insights</t>
  </si>
  <si>
    <t>4. Engagement Patterns</t>
  </si>
  <si>
    <t>Overall Takeaway</t>
  </si>
  <si>
    <t>Ayesha Work Anniversary</t>
  </si>
  <si>
    <t>Meet our CEO</t>
  </si>
  <si>
    <t>Branding</t>
  </si>
  <si>
    <t>Post title</t>
  </si>
  <si>
    <t>Post link</t>
  </si>
  <si>
    <t>Post type</t>
  </si>
  <si>
    <t>Audience</t>
  </si>
  <si>
    <t>Impressions</t>
  </si>
  <si>
    <t>Clicks</t>
  </si>
  <si>
    <t>Click through rate (CTR)</t>
  </si>
  <si>
    <t>Reposts</t>
  </si>
  <si>
    <t>Engagement rate</t>
  </si>
  <si>
    <t>Content Type</t>
  </si>
  <si>
    <t>Back from an exciting event - the Peaks &amp; Waves Technology Summit 2025 in Dornbirn 🇦🇹! 
Our co-founders Ammar Asjad Raja and Zahid Iqbal proudly represented Ähdus Technology, connecting with partners, industry leaders, and innovators from the Bodensee region. From engaging keynotes on Tomorrowmensch 🤖 to live demos of practical Gen AI use cases, the summit reflected the balance between fast-paced technology and the human side of digitization.
A big thank you to schwarzenberg.tech GmbH and Direttissima Growth Partners for hosting such a valuable event. 🥂 We look forward to continuing the journey of building technology for the better, together.
#PeaksAndWavesTechnologySummit #TechnologyForTheBetter #Austria #TechEvents #TeamÄhdusAtPeaksAndWaves</t>
  </si>
  <si>
    <t>https://www.linkedin.com/feed/update/urn:li:activity:7377324038844661760</t>
  </si>
  <si>
    <t>Organic</t>
  </si>
  <si>
    <t/>
  </si>
  <si>
    <t>All followers</t>
  </si>
  <si>
    <t>Hurray! 🍻 We are coming to Bits25 🇩🇪, this year's agenda is "Sovereign AI - opensource AI solutions for innovative products."
Our co-founders Zahid Iqbal and Ammar Asjad Raja will represent Ähdus team and solutions. We are excited to exchange ideas, share valuable insights, and connect with fellow founders and AI enthusiasts. 🤖 It's our second consecutive year at Bits &amp; Pretzels and we couldn’t be more excited about it. 🎉 Let's connect and explore sovereign AI solutions together. 🙌🏻
#Bits25 #BitsandPretzels #Munich #TechEvents #ÄhdusAtBits25</t>
  </si>
  <si>
    <t>https://www.linkedin.com/feed/update/urn:li:activity:7376960728764735488</t>
  </si>
  <si>
    <t>Team Ähdus is Heading to Peaks &amp; Waves - Our Partner Event schwarzenberg.tech GmbH Business Technology Summit 23.09 at Dornbirn 🇦🇹! 
We will proudly demonstrate our sovereign AI solutions and modern software development. Looking forward to connecting, sharing insights, and diving deep into the future of technology together. 🤖🔥
#PeaksAndWaves #SchwarzenbergTech #AustriaEvents #AgentingAI #TeamÄhdusAtPeaksAndWaves</t>
  </si>
  <si>
    <t>https://www.linkedin.com/feed/update/urn:li:activity:7374805832120594432</t>
  </si>
  <si>
    <t>Ein spannender Meilenstein unserer Freunde bei cNode – ihre Plattform ist offiziell live! Wir freuen uns sehr, die Entwicklung der KI-Plattform cNode zu unterstützen, und freuen uns darauf, sie auch weiterhin erfolgreich zu begleiten. 🎉🔥 Leonardo Bornhäußer
#cNode #DecisionIntelligence #GoLive #ArtificialIntelligence #Innovation</t>
  </si>
  <si>
    <t>https://www.linkedin.com/feed/update/urn:li:activity:7371498377668284417</t>
  </si>
  <si>
    <t xml:space="preserve">Meet the vision behind Ähdus Technology GmbH! 
From serving the government of Pakistan on multiple director positions, to now driving innovation and adaptability at Ähdus Technology - our CEO, Zahid Iqbal, brings a powerful blend of leadership and transformation. 💡
With his vision of building a future-ready, innovative, and adaptable IT ecosystem, he continues to drive Ähdus towards growth and impact. 🌍✨
#Leadership #Innovation #DigitalTransformation #AgileTeam #ÄhdusStories </t>
  </si>
  <si>
    <t>https://www.linkedin.com/feed/update/urn:li:activity:7369347218811551744</t>
  </si>
  <si>
    <t>Happy 3rd Work Anniversary to our powerhouse of talent, Ayesha Rafique! 🎉
You have been an essential part of our team since the very beginning, and we couldn’t be more proud to have you with us. 💙 Thank you for your valuable contributions to our agile project management. Your active communication, flexibility, and excellent negotiation skills are truly commendable and a great asset to our company. Cheers to 3 amazing years, here’s to many more ahead! ✨🙌
#WorkAnniversary #EmployeeSpotlight #AgileProjectManagement #Teamwork #CompanyCulture</t>
  </si>
  <si>
    <t>https://www.linkedin.com/feed/update/urn:li:activity:7368953466573971460</t>
  </si>
  <si>
    <t xml:space="preserve">Freitag - Fun Friday at Ähdus! 🔥
Getting into the weekend spirit with renewed energy and big smiles. 😄🙌🏻
Asia Bibi- CHRP® Taimoor Khan Saliha Khaled Warda Tahir Muzzamil Shahzad - CHRP Mubashir Ali Ali Raza 
#teamfun #teamcelebration #funfriday #fridayvibes #teamÄhdus </t>
  </si>
  <si>
    <t>https://www.linkedin.com/feed/update/urn:li:activity:7364651762512809984</t>
  </si>
  <si>
    <t xml:space="preserve">We are thrilled to welcome Muzzamil Shahzad - CHRP to Ähdus Technology GmbH! 🎉
Joining us as our new Talent &amp; People Manager, he brings expertise in nurturing talent, fostering culture, and empowering teams to thrive.
Looking forward to building stronger collaborations and a people-first, agile work culture together. ✨🙌
#WelcomeAboard #PeopleAndCulture #WorkCulture #TalentAcquisition #AgileTeam  </t>
  </si>
  <si>
    <t>https://www.linkedin.com/feed/update/urn:li:activity:7364265051375001603</t>
  </si>
  <si>
    <t>our AI projects are growing - thanks to strong customer needs 😉
growing our ai core team in Islamabad office! come join  Ähdus Technology GmbH and make a big difference in AI Arena 🦾</t>
  </si>
  <si>
    <t>https://www.linkedin.com/feed/update/urn:li:activity:7364254208893558784</t>
  </si>
  <si>
    <t>Wishing our marketing maestro a day as creative, vibrant, and full of energy as you are. Happy Birthday Laiba Masood! 🎉🎂
Your vision inspires us, your energy drives us, and your ideas keep our brand shining brighter every day. Here’s to another year of brainstorming brilliance, turning concepts into success stories, and spreading your magic wherever you go. ✨🥳 
#EmployeeBirthday #TeamActivity #TeamCelebration #CompanyCulture #TeamÄhdus</t>
  </si>
  <si>
    <t>https://www.linkedin.com/feed/update/urn:li:activity:7362107781526499329</t>
  </si>
  <si>
    <t>Happy 78th Independence Day, Pakistan! 🇵🇰💚
The Independence Day celebration at our Ähdus, Pakistan Office was a grand affair, with our team showing a great spirit of zeal and patriotism. Our remote team also joined us virtually, which made the celebration even more fun. 🤍 Let's remember the sacrifices of our forefathers today and work towards the betterment of ourselves and our nation. 🎉🔥
Iram Shahid Laiba Masood Saad Ahmed Saeed Saliha Khaled Asia Bibi- CHRP® Ali Raza Mubashir Ali Fahad Waheed Khan Muzzamil Shahzad - CHRP Ayesha Rafique Muhammad Kamran Nabeel Hayat Zahid Iqbal Amna Mansoor 
.
.
#independenceday #pakistanindependenceday #pakistanzindabad #teamcelebration #teamÄhdus</t>
  </si>
  <si>
    <t>https://www.linkedin.com/feed/update/urn:li:activity:7361687082290888704</t>
  </si>
  <si>
    <t>Happiest Birthday to this amazing fireball of energy, Iram Shahid! 🎂🎉 Your vibrant energy and positive personality inspire us all. Wishing you a lot of growth and success in your personal and professional life from all of us at Ähdus Technology. 💙💙
#employeebirthday #teamcelebration #companyculture #teambonding #teamÄhdus</t>
  </si>
  <si>
    <t>https://www.linkedin.com/feed/update/urn:li:activity:7360666637118693376</t>
  </si>
  <si>
    <t>We are thrilled to welcome Warda Tahir to Ähdus Technology GmbH! 🎉 Joining as our new Product Owner, bringing fresh ideas and a passion for innovation. 
Looking forward to great collaborations and impactful projects ahead. 💡🙌 
#NewHire #ProductOwner #WelcomeOnboard #AgileTeam #TeamÄhdus</t>
  </si>
  <si>
    <t>https://www.linkedin.com/feed/update/urn:li:activity:7359556824116641793</t>
  </si>
  <si>
    <t xml:space="preserve">Happy Birthday Mubashir Ali from all of us at Ähdus Technology! 🎉🍰
Your hard work and dedication inspire us all and we wish you a lot of happiness and success this year, both personally and professionally. ✨️💙
#EmployeeBirthday #CompanyCulture #TeamBonding #TeamCelebration #TeamÄhdus </t>
  </si>
  <si>
    <t>https://www.linkedin.com/feed/update/urn:li:activity:7358121166189817856</t>
  </si>
  <si>
    <t xml:space="preserve">This reel is your sign to plan a fun hangout with your team - just like we did! 😎
At Ähdus, we believe that work should be anything but boring. From a fun movie to thrilling adventures to a scrumptious dinner, the day was filled with wholesome moments and a healthy dose of friendly competition. 🔥🔥
A big thank you to everyone who joined us. And, we really missed our remote team, and those who couldn’t be a part of it. 💙💙
Zahid Iqbal Muzzamil Shahzad - CHRP Asia Bibi- CHRP® Ali Raza Saad Ahmed Saeed Saliha Khaled Ayesha Rafique Iram Shahid Fahad Waheed Khan Mubashir Ahmad Moeed Shafi Mubashir Ahmad Laiba Masood Muhammad Kamran 
#TeamOuting #CompanyCulture #WorkFun #AdventureTime #TeamÄhdus </t>
  </si>
  <si>
    <t>https://www.linkedin.com/feed/update/urn:li:activity:7356998826932461568</t>
  </si>
  <si>
    <t>Deep tech, done right! 🤖🦾
We are super excited to be building the tech backbone of cNode which is an AI platform - a modular engine for distributed intelligence - that transforms unstructured data into actionable market strategies, precise investment insights, and automated decision-making.
This is something truly next-gen, the right innovation but this time from Germany🇩🇪
to realize the concept of fully automated ai-engine, from Ähdus our Full-stack Web Developers, an AI Lead Engineer, and a DevOps Engineer is working very closely with Leonardo Bornhäußer and his powerful AI team at Creativate AIStudio, and our partner company Camsol.io and their devs from Cameroon office.
at Ähdus Technology GmbH we are loving every part of shaping it, from ML pipelines to system orchestration, and to scale it up. 🧠🔧
#GenAI #DeepTech #TechCollaboration #Creativate #ÄhdusTechnology</t>
  </si>
  <si>
    <t>https://www.linkedin.com/feed/update/urn:li:activity:7356311900290244609</t>
  </si>
  <si>
    <t xml:space="preserve">Ähdus Technology auf dem KI Festival Heilbronn 🇩🇪! 
#KIFestival #AIPhotoBooth #OpenSourceAI #AIAvatars #CustomerSupportAI </t>
  </si>
  <si>
    <t>https://www.linkedin.com/feed/update/urn:li:activity:7353060143313444864</t>
  </si>
  <si>
    <t>Ähdus Technology GmbH is at WeAreDevelopers - Europe's biggest tech event happening in Berlin 🇩🇪 right now! Meet our MD and technical co-founder, Ammar Asjad Raja there, and exchange ideas, insights, and inspiration. From AI to software development, product to cloud - the best of tech is here. 🧠🤖💪
The future of tech is here - are you? 
#WeAreDevelopers #Berlin #TechinGermany #TechEvents #FutureofTech</t>
  </si>
  <si>
    <t>https://www.linkedin.com/feed/update/urn:li:activity:7349350814034923520</t>
  </si>
  <si>
    <t>Hurray 🇩🇪 Team Ähdus is heading to WeAreDevelopers, Berlin from 9th to 11th July 2025! Meet us for modern software development and cutting-edge AI solutions. Our Technical Founder from German office, Ammar Asjad Raja will be there, let us connect and exchange deep-dive technology. See you at the event! 🤖🔥 
Iram Shahid Laiba Masood
#WeAreDevelopers #Berlin #AgentingAI #GreenIT #TeamÄhdusAtWeAreDevelopers</t>
  </si>
  <si>
    <t>https://www.linkedin.com/feed/update/urn:li:activity:7346140647197675520</t>
  </si>
  <si>
    <t>Wishing a very Happy Birthday to Fahad Waheed Khan! 🎉 
Your dedication, work ethic, and positive attitude continue to inspire those around you. Here's to a year ahead filled with continued growth, success, and well-deserved recognition. ✨🙌  
#EmployeeBirthday #TeamBonding #TeamCelebration #CompanyCulture #TeamÄhdus</t>
  </si>
  <si>
    <t>https://www.linkedin.com/feed/update/urn:li:activity:7342913175459147776</t>
  </si>
  <si>
    <t>Oh là là 🇫🇷 Team Ähdus is heading to Viva Technology, Paris - 11th to 14th June 2025! Connect with us at Viva for cool and modern software development and AI implementation. 🤖 See you there. ✨
Iram Shahid Laiba Masood Saliha Khaled
#VivaTech #Paris #AgentingAI #GreenIT #TeamÄhdusAtViva</t>
  </si>
  <si>
    <t>https://www.linkedin.com/feed/update/urn:li:activity:7336009581526941698</t>
  </si>
  <si>
    <t>🚀🚀🚀 When Munich 🇩🇪 meets Islamabad 🇵🇰
💥We are very happy to announce our groundbreaking partnership with Munich based Quasara and Ähdus Technology GmbH 🌍✨
This is important milestone since Ähdus AI teams are more capable and powerful to support corporate clients by combining advanced semantic and vector search capabilities with cutting-edge multi-agent engineering services.
Drop a message or contact us to finid our some cool case studies we are developing for enterprise AI systems. 🤖
#AI #aiagents #digitalpartnership #TechnologyInnovation #EnterpriseAI
#SemanticSearch #VectorSearch #MultiAgentSystems #AIagents #agileaidevelopment</t>
  </si>
  <si>
    <t>https://www.linkedin.com/feed/update/urn:li:activity:7335692775964782592</t>
  </si>
  <si>
    <t>Spontane Mittagspläne mit Ihrem Team sind der beste Weg, den Mid-Week-Blues loszuwerden 😋🔥  
Zahid Iqbal Saad Ahmed Saeed Asia bibi Saliha Khaled Laiba Masood Iram Shahid Saad Azhar Fahad Waheed Khan Ali Raza Mubashir Ali Taimoor Khan
#TeamLunch #FunActivity #AgileTeam #TeamBonding #TeamÄhdus</t>
  </si>
  <si>
    <t>https://www.linkedin.com/feed/update/urn:li:activity:7333485008394842112</t>
  </si>
  <si>
    <t>Freitag - Fun Friday at Ähdus 🔥
Iram Shahid Taimoor Khan 
#funfriday #companyculture #teambonding #agileteam</t>
  </si>
  <si>
    <t>https://www.linkedin.com/feed/update/urn:li:activity:7331733625664679936</t>
  </si>
  <si>
    <t>We are looking for a Senior Generative AI Engineer for one of our leading clients in Heidelberg. This is an exciting opportunity to contribute to meaningful, AI-driven innovations that make a difference. 🚀 
✅ Required Skills and Experience:
• 5+ years of experience in LLM-based application development (industry or personal projects)
• Strong programming skills in Python
• Hands-on experience with Pydantic, FastAPI, SQLite, SQLAlchemy
• Proficient in Git-based workflows, CI/CD pipelines, and DevOps tools
• Solid frontend development experience with JavaScript and React
• Excellent communication and presentation skills in English
• Skilled at explaining and documenting complex technical concepts for non-technical audiences
➕ Additional Skills Considered a Plus:
• 2+ years of experience in AI/ML applications
• Knowledge of MLOps and LLMOps best practices
• Familiarity with PostgreSQL or MySQL
• German language proficiency or prior work experience in Germany
📅 Application Deadline: May 20, 2025
📩 Apply via email: hr@ahdustechnology.com
#hiring #excitingopportunity #generativeAI</t>
  </si>
  <si>
    <t>https://www.linkedin.com/feed/update/urn:li:activity:7323360811643498496</t>
  </si>
  <si>
    <t>Freitag - Friday - full pizza day at Ähdus 🔥
#agileteam #pizza #innovationconception</t>
  </si>
  <si>
    <t>https://www.linkedin.com/feed/update/urn:li:activity:7321501127290593281</t>
  </si>
  <si>
    <t>Frohe Ostern von uns allen bei Ähdus Technology! 🎊 Möge diese Zeit der Erneuerung zu neuen Ideen, sinnvollem Wachstum und fortgesetzter Innovation inspirieren. Wir wünschen Ihnen und Ihren Lieben ein fröhliches und friedliches Osterfest. ✨️🪺
#FroheOstern #TechnologieFürGutes #Innovationszeit #DigitaleErneuerung #ÄhdusTechnology</t>
  </si>
  <si>
    <t>https://www.linkedin.com/feed/update/urn:li:activity:7319669298463948800</t>
  </si>
  <si>
    <t>Ever wondered what a Full Stack Developer looks like in action at Ähdus?
Here’s how they show up every day - headset ready, keyboard lit, and a mug of coffee fueling the mission. Debugging like pros, coding like champs, and always ready for the next challenge. ☕🎧💻
If you were an action figure, what accessories would be in your pack?
#SoftwareDevelopment #FullStackDeveloper #TechLife #TeamÄhdus #ÄhdusTechnology</t>
  </si>
  <si>
    <t>https://www.linkedin.com/feed/update/urn:li:activity:7317493574466498562</t>
  </si>
  <si>
    <t>We’re excited to welcome Iram Shahid back with us at Ähdus Technology GmbH! 🎉 Her passion, energy, and unique perspective have always added so much to our team. It’s great to see her jumping right back in and bringing fresh momentum to our projects. At Ähdus, we are always excited to welcome back team members who take time to explore their side projects and passions. We live by this belief - Once you’re part of Ähdus, you’re always part of Ähdus! It’s more than just work; it’s a lasting bond. 💙
Here’s to new ideas, great collaborations, and the amazing work ahead.
Welcome back, Iram! Let’s do great things together! 🚀
#WelcomeBack #TeamÄhdus #CompanyCulture #ÄhdusTechnology</t>
  </si>
  <si>
    <t>https://www.linkedin.com/feed/update/urn:li:activity:7315357167983779840</t>
  </si>
  <si>
    <t>Start-up Night an der Reutlingen University! 💻🦾
Was für ein unglaublicher Abend, gefüllt mit inspirierenden Start-up-Geschichten! 🚀 Wir hatten das Vergnügen, von Dr. Alexander Blass von NEURA Robotics, Dr. Ramona Samba von sync2brain GmbH und Julian Enz von Maddox AI zu hören, die Einblicke in ihre innovativen Unternehmungen gaben. 
Wir haben uns sehr gefreut, Ähdus Technology GmbH auf der Veranstaltung zu präsentieren! 💡 Unser founder Ammar Asjad Raja hatte die Gelegenheit, Agenting AI-Lösungen vorzustellen, die wir in mittelständischen Unternehmen und Startups in Deutschland implementieren.
Ein großes Dankeschön an das Center for Entrepreneurship Reutlingen für die Organisation dieser Veranstaltung, bei der viele andere vielversprechende Startups ihre Ideen auf der Expo präsentierten, darunter:
PVISION, Fiducation, Sereact, TuCAN, Prefiro, Machine26, BIOMARIX ., Mein Helfair, PRETTL group, VIOONIC GmbH, Re:Root, Serenity Blossoms, Deep Care!
Wir hatten ein großartiges Gespräch mit den Studenten und haben sie inspiriert, in Ähdus deutschem Büro zu arbeiten und mit uns fortschrittliche Technologien zu entwickeln. 🙌 
#StartupNight #Unternehmertum #Innovation</t>
  </si>
  <si>
    <t>https://www.linkedin.com/feed/update/urn:li:activity:7313876464758603776</t>
  </si>
  <si>
    <t>We're #hiring a new (Paid) Internship in business development für CRM Systeme in Heilbronn, Baden-Württemberg. Apply today or share this post with your network.</t>
  </si>
  <si>
    <t>https://www.linkedin.com/feed/update/urn:li:activity:7312942352329826304</t>
  </si>
  <si>
    <t>On Friday, we came together for a delightful Team Aftar Buffet! ✨️🍽 Our remote team members also joined us, making the evening even more special. It was a pleasure connecting with our colleagues and their families, sharing meaningful conversations over a scrumptious meal. At Ähdus, we cherish these AHA moments that strengthen our bonds beyond work. 🎉 To those who couldn’t join us - you were missed, and we look forward to gathering again soon. 🙌🏻
Zahid Iqbal Mudassir Ahmad Ali Raza Taimoor Khan Abdul Waheed Mubashir Ali Ammar Ali Mohsin Khan Muhammad Kamran Fahad Waheed Khan Ayesha Rafique Hifza Latif Saliha Khaled Laiba Masood Iram Shahid Hafsa Usman -CHRP Syed Sarim Bin Shakir 
#TeamBonding #TeamActivity #Aftar #CompanyCulture #ÄhdusTechnology</t>
  </si>
  <si>
    <t>https://www.linkedin.com/feed/update/urn:li:activity:7309858568994721792</t>
  </si>
  <si>
    <t>Three years of dedication, growth, and success! 🎉 Congratulations to Taimoor Khan on reaching this incredible milestone at Ähdus Technology GmbH. 🚀✨ At Ähdus Technology, we take pride in fostering a workplace where employees thrive, and our strong retention reflects our commitment to growth and innovation. Cheers to more success ahead! 🎯💼 
#WorkAnniversary #TeamÄhdus #EmployeeSuccess #CompanyCulture #EmployeeRetention </t>
  </si>
  <si>
    <t>https://www.linkedin.com/feed/update/urn:li:activity:7305915833183080448</t>
  </si>
  <si>
    <t xml:space="preserve">Saliha Khaled's Birthday Celebration! 🎉 A great day filled with joy, laughter, and team spirit. Happy Birthday! ✨️🎈
#TeamFun #Birthday #Celebration #TeamBonding #TeamFun </t>
  </si>
  <si>
    <t>https://www.linkedin.com/feed/update/urn:li:activity:7305231885121523713</t>
  </si>
  <si>
    <t xml:space="preserve">Happy Birthday Saliha Khaled! 🎉 Wishing you a great day filled with joy, laughter, and success. Your hard work and dedication are truly inspiring, and we're grateful to have you on the team! Cheers to another amazing year ahead. ✨🎊   
#HappyBirthday #TeamCelebration #CompanyCulture #TeamActivity #ÄhdusTechnology </t>
  </si>
  <si>
    <t>https://www.linkedin.com/feed/update/urn:li:activity:7305167241753354241</t>
  </si>
  <si>
    <t xml:space="preserve">This International Women’s Day, we’re not just celebrating the idea of empowerment - we’re celebrating the incredible women at Ähdus who live it every day. 💪 We celebrated the incredible women in our team with sweet treats and even sweeter appreciation for their hard work, talent, and dedication. 💜✨ Here’s to fostering a workplace where women lead, innovate, and thrive. Happy Women’s Day! 🎉
Hafsa Usman -CHRP Ayesha Rafique Hifza Latif Laiba Masood Saliha Khaled
#WomensDay #WomenEmpowerment #EmpowerHer #WomenofÄhdus #ÄhdusTechnology  </t>
  </si>
  <si>
    <t>https://www.linkedin.com/feed/update/urn:li:activity:7304089198381207552</t>
  </si>
  <si>
    <t xml:space="preserve">Embracing the spirit of Ramadan with heartfelt gestures! 🌙✨ Sharing joy and blessings with our team as we celebrate this sacred month together. 🤲
#ramadankareem #ramadangifts #companyculture #employeemotivation #teambuilding </t>
  </si>
  <si>
    <t>https://www.linkedin.com/feed/update/urn:li:activity:7302974311592607744</t>
  </si>
  <si>
    <t>Celebrating Taimoor Khan on his 3-year work anniversary with Ähdus Technology GmbH! 🎉 Your dedication, hard work, and passion inspire us all. Congratulations on this milestone! Here’s to many more years of success and growth together. 🚀👏  
#workanniversary #teamappreciation #employeemotivation #agiledevelopment #Ähdustechnology</t>
  </si>
  <si>
    <t>https://www.linkedin.com/feed/update/urn:li:activity:7302694758244622337</t>
  </si>
  <si>
    <t xml:space="preserve">Ramadan Mubarak from all of us at Ähdus Technology! May this holy month bring you peace, joy, and endless blessings. 🌙✨ 
#ramadan #ramadanmubarak #holymonth #blessings #Ähdustechnology  </t>
  </si>
  <si>
    <t>https://www.linkedin.com/feed/update/urn:li:activity:7301649050041262080</t>
  </si>
  <si>
    <t xml:space="preserve">Let the tech war begin! 🚀🙌
#techcompetition #coding #userdesign #technicalwriting #CodeFlow   </t>
  </si>
  <si>
    <t>https://www.linkedin.com/feed/update/urn:li:activity:7300762512143048704</t>
  </si>
  <si>
    <t xml:space="preserve">Wishing our talented team member Hifza Latif a very happy birthday! 🎊 Your hard work and dedication inspire us all, and we wish you many more years of happiness, success, and growth. May this year bring you great achievements and exciting opportunities. 🎉🍰
#companyculture #teamactivity #employeebirthday #agiledevelopment #ähdustechnology </t>
  </si>
  <si>
    <t>https://www.linkedin.com/feed/update/urn:li:activity:7299769176116596736</t>
  </si>
  <si>
    <t>AHA moments!!!! On Friday, we gathered some of our team members for Chaee (Pakistani Tea), for celebrating some project's success we made recently. ✨🎉 It was fun, engaging, and above all a great team bonding experience. We not only work, but also celebrate which makes team work fun and a great place to stay energetic. 🚀 We missed some of our team members who could not join us for these AHA moments.
Zahid Iqbal Mudassir Ahmad Muhammad Arslan Riaz Ali Raza Syed Muhammad Qasim Asif Taimoor Khan Ahmad Usman Asjad Hafsa Usman -CHRP Laiba Masood Saliha Khaled Hifza Latif
#teambonding #companyculture #employeemotivation #funactivity #agiledevelopment</t>
  </si>
  <si>
    <t>https://www.linkedin.com/feed/update/urn:li:activity:7299716314984570880</t>
  </si>
  <si>
    <t>Watch how our agile dev team sees ChatGPT Vs. DeepSeek AI! 🚀💡 Which agenting AI tool is better for you? 
Mudassir Ahmad Sayyeda Rida Rubab Laiba Masood
#deepseek #chatgpt #agiledevelopers #digitalinnovation #greenit</t>
  </si>
  <si>
    <t>https://www.linkedin.com/feed/update/urn:li:activity:7293631957379260416</t>
  </si>
  <si>
    <t>Automation vs. AI Workflow vs. AI Agent – What’s the difference, and which one is right for your business? 🚀 
Understanding these technologies is crucial for efficiency and innovation. Check out this article to make smarter decisions:
https://lnkd.in/dSr9iwAp
#ai #automation #businessinnovation #digitaltransformation #technicalarticle</t>
  </si>
  <si>
    <t>https://www.linkedin.com/feed/update/urn:li:activity:7293626952538558464</t>
  </si>
  <si>
    <t>🔶 🔷 Wonder how the DeepSeek R1 model is compared against it's rivals? we have published a detailed technical comparison of how DeepSeek R1 LLM model works. 
#generativeai #deepseek #R1LLM #openAI #chatGPT</t>
  </si>
  <si>
    <t>https://www.linkedin.com/feed/update/urn:li:activity:7291096031188983808</t>
  </si>
  <si>
    <t>📢 Exciting Career Opportunities at Ähdus Technology GmbH!
We’re hiring! Join our team and help us shape the future of technology. 🚀 
We are urgently looking for talented professionals and absolute A-players for the following positions:
1️⃣ Professional Developer
• PHP/Laravel/Next.js/Node.js
2️⃣ Senior Agile Product Owner
3️⃣ Business Development Professional
4️⃣ Email Marketing Executive
5️⃣ Professional DevOps Engineer
• Expertise in Azure/AWS
6️⃣ Senior Architect
• Experience in Service-Oriented Architecture and Micro-services Architecture
• Strong back-end expertise in PHP-based languages
📌 All positions are permanent and on-site at Bahria phase 7, Rawalpindi office.
📩 If you or someone you know is a great fit, send us your CV to info@ahdustechnology.com.
#careeropportunities #wearehiring #techjobs #agiledevelopment #devops</t>
  </si>
  <si>
    <t>https://www.linkedin.com/feed/update/urn:li:activity:7289957104667287552</t>
  </si>
  <si>
    <t>Welcoming our new digital wizard Laiba Masood to Ähdus Technology GmbH! 🎉 Bringing fresh ideas and dynamic energy to our marketing team, Laiba is all set to make waves in the digital world. She's a powerhouse of talent and creativity and we can't wait to see her take Ähdus's branding to exciting new heights. 🚀✨
#digitalmarketing #teamgrowth #greenIT #AIinnovation</t>
  </si>
  <si>
    <t>https://www.linkedin.com/feed/update/urn:li:activity:7287010943920693248</t>
  </si>
  <si>
    <t>Welcoming the newest addition to our team, Saad Ahmed Saeed! 🎉 Saad is a super-talented AI Developer, currently working on our cutting-edge AI solutions. He's all set to take our tech game to the next level. 🚀 Welcome to Ähdus Technology GmbH, Saad! We can't wait to push our boundaries and create something extraordinary together. 💡🤖
#AIdeveloper #AIengineer #techinnovation #innovationstartshere</t>
  </si>
  <si>
    <t>https://www.linkedin.com/feed/update/urn:li:activity:7285977950087208960</t>
  </si>
  <si>
    <t>Thrilled to expand our partnership with Deepvertise, driving innovation in AI solutions for clients in Germany! 🚀 
#AI #AIInnovation #softwaredevelopment #techsolutions</t>
  </si>
  <si>
    <t>https://www.linkedin.com/feed/update/urn:li:activity:7285736920385511424</t>
  </si>
  <si>
    <t xml:space="preserve">Mark your calendars for a tech battle like no other! 🚀 Register now to showcase your skills, unleash your creativity, and stand out in this prestigious event:
https://lnkd.in/eNdi8pZc 
#techcompetition #artificialintelligence #informationtechnology </t>
  </si>
  <si>
    <t>https://www.linkedin.com/feed/update/urn:li:activity:7283713643416875008</t>
  </si>
  <si>
    <t xml:space="preserve">Wishing our amazing team member Mudassir Ahmad a very Happy Birthday! 🎉 
At Ähdus Technology, we believe in celebrating not just milestones but incredible people who make our team stronger every day. Your dedication and energy inspire us all, and we're grateful to have you as part of our team. Here’s to a year filled with growth, happiness, and success - both personal and professional. 🚀✨
#teambonding #companyculture #artificialintelligence #informationtechnology </t>
  </si>
  <si>
    <t>https://www.linkedin.com/feed/update/urn:li:activity:7282640083726331905</t>
  </si>
  <si>
    <t>Die Eichhörnchen haben sich von den Bäumen zu unserem Büro begeben. 😁 
Ein herzliches Dankeschön an unseren wunderbaren Kunden 🐿Norbert Ackermann🐿 für dieses wunderbare Geschenk, das unser Weihnachtsfest und den Jahreswechsel so besonders macht. Wir wünschen CBUY.EXPERT herzliche Grüße und viel Erfolg für die kommenden Tage.
#artificialintelligence #digitalinnovation #informationtechnology</t>
  </si>
  <si>
    <t>https://www.linkedin.com/feed/update/urn:li:activity:7281972427922849792</t>
  </si>
  <si>
    <t>Wir wünschen allen ein frohes neues Jahr. Einen guten Start in die Woche und einen guten Start ins neue Jahr und viel Erfolg für Ihr Unternehmen und Ihre Karriere. 🙌 
Wir sind bereit für Sie! 🎉✨ 
#newyear #artificialintelligence #deeplearning #techgrowth</t>
  </si>
  <si>
    <t>https://www.linkedin.com/feed/update/urn:li:activity:7280501419642605570</t>
  </si>
  <si>
    <t>Wir freuen uns sehr, Sie zu unterstützen und eine user experience  zu schaffen, die nun von Tausenden von Benutzern und Kunden genutzt werden kann. 
Vielen Dank für Ihr Vertrauen in unser agiles sw-Entwicklungsteam.
#besmart #beexpert #befast #agilesoftwaredevelopment</t>
  </si>
  <si>
    <t>https://www.linkedin.com/feed/update/urn:li:activity:7280247940592353281</t>
  </si>
  <si>
    <t xml:space="preserve">Ähdus Technology GmbH wishes you a Happy New Year filled with peace, happiness, and success! 🎉 As we step into the new year, we are excited to continue driving innovation and delivering impactful solutions. Thank you to our clients, partners, and team for making 2024 a year to remember. Here’s to achieving even greater milestones together in 2025. 🚀🙌 
#newyear #innovation #agiledevelopment #artificialintelligence </t>
  </si>
  <si>
    <t>https://www.linkedin.com/feed/update/urn:li:activity:7280095576262627328</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</si>
  <si>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</si>
  <si>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</si>
  <si>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</si>
  <si>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</si>
  <si>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</si>
  <si>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</si>
  <si>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</si>
  <si>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</si>
  <si>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</si>
  <si>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</si>
  <si>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</si>
  <si>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</si>
  <si>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</si>
  <si>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</si>
  <si>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</si>
  <si>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</si>
  <si>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</si>
  <si>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</si>
  <si>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</si>
  <si>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Top Performing Content Types</t>
  </si>
  <si>
    <t>Team Ähdus is Heading to Peaks &amp; Waves</t>
  </si>
  <si>
    <t>Team Ähdus is Heading to Bits25</t>
  </si>
  <si>
    <t>Peaks &amp; Waves Event Post</t>
  </si>
  <si>
    <t>19/9/2025</t>
  </si>
  <si>
    <t>25/9/2025</t>
  </si>
  <si>
    <t>26/9/2025</t>
  </si>
  <si>
    <r>
      <t>Reels dominate</t>
    </r>
    <r>
      <rPr>
        <sz val="11"/>
        <color theme="1"/>
        <rFont val="Aptos Narrow"/>
        <family val="2"/>
        <scheme val="minor"/>
      </rPr>
      <t xml:space="preserve"> → Highest reach &amp; discovery.</t>
    </r>
  </si>
  <si>
    <r>
      <t xml:space="preserve">Example: </t>
    </r>
    <r>
      <rPr>
        <i/>
        <sz val="11"/>
        <color theme="1"/>
        <rFont val="Aptos Narrow"/>
        <family val="2"/>
        <scheme val="minor"/>
      </rPr>
      <t>WeAreDevelopers collab reel</t>
    </r>
    <r>
      <rPr>
        <sz val="11"/>
        <color theme="1"/>
        <rFont val="Aptos Narrow"/>
        <family val="2"/>
        <scheme val="minor"/>
      </rPr>
      <t xml:space="preserve"> → </t>
    </r>
    <r>
      <rPr>
        <b/>
        <sz val="11"/>
        <color theme="1"/>
        <rFont val="Aptos Narrow"/>
        <family val="2"/>
        <scheme val="minor"/>
      </rPr>
      <t>11,206 views</t>
    </r>
    <r>
      <rPr>
        <sz val="11"/>
        <color theme="1"/>
        <rFont val="Aptos Narrow"/>
        <family val="2"/>
        <scheme val="minor"/>
      </rPr>
      <t>.</t>
    </r>
  </si>
  <si>
    <r>
      <t>Senior–Junior Funny Reel</t>
    </r>
    <r>
      <rPr>
        <sz val="11"/>
        <color theme="1"/>
        <rFont val="Aptos Narrow"/>
        <family val="2"/>
        <scheme val="minor"/>
      </rPr>
      <t xml:space="preserve"> → </t>
    </r>
    <r>
      <rPr>
        <b/>
        <sz val="11"/>
        <color theme="1"/>
        <rFont val="Aptos Narrow"/>
        <family val="2"/>
        <scheme val="minor"/>
      </rPr>
      <t>2,743 views</t>
    </r>
    <r>
      <rPr>
        <sz val="11"/>
        <color theme="1"/>
        <rFont val="Aptos Narrow"/>
        <family val="2"/>
        <scheme val="minor"/>
      </rPr>
      <t>.</t>
    </r>
  </si>
  <si>
    <r>
      <t xml:space="preserve">Many reels had </t>
    </r>
    <r>
      <rPr>
        <b/>
        <sz val="11"/>
        <color theme="1"/>
        <rFont val="Aptos Narrow"/>
        <family val="2"/>
        <scheme val="minor"/>
      </rPr>
      <t>70%+ non-follower reach</t>
    </r>
    <r>
      <rPr>
        <sz val="11"/>
        <color theme="1"/>
        <rFont val="Aptos Narrow"/>
        <family val="2"/>
        <scheme val="minor"/>
      </rPr>
      <t>, making them the strongest growth engine.</t>
    </r>
  </si>
  <si>
    <r>
      <t>Carousels</t>
    </r>
    <r>
      <rPr>
        <sz val="11"/>
        <color theme="1"/>
        <rFont val="Aptos Narrow"/>
        <family val="2"/>
        <scheme val="minor"/>
      </rPr>
      <t xml:space="preserve"> → Work well for </t>
    </r>
    <r>
      <rPr>
        <i/>
        <sz val="11"/>
        <color theme="1"/>
        <rFont val="Aptos Narrow"/>
        <family val="2"/>
        <scheme val="minor"/>
      </rPr>
      <t>team activities &amp; birthdays</t>
    </r>
    <r>
      <rPr>
        <sz val="11"/>
        <color theme="1"/>
        <rFont val="Aptos Narrow"/>
        <family val="2"/>
        <scheme val="minor"/>
      </rPr>
      <t>, but lower engagement vs reels.</t>
    </r>
  </si>
  <si>
    <r>
      <t>Static Posts</t>
    </r>
    <r>
      <rPr>
        <sz val="11"/>
        <color theme="1"/>
        <rFont val="Aptos Narrow"/>
        <family val="2"/>
        <scheme val="minor"/>
      </rPr>
      <t xml:space="preserve"> → Lowest reach, mostly seen by followers. Good for culture-building, not growth.</t>
    </r>
  </si>
  <si>
    <t>2. Content Themes That Work</t>
  </si>
  <si>
    <r>
      <t>Funny/Meme Reels</t>
    </r>
    <r>
      <rPr>
        <sz val="11"/>
        <color theme="1"/>
        <rFont val="Aptos Narrow"/>
        <family val="2"/>
        <scheme val="minor"/>
      </rPr>
      <t xml:space="preserve"> → Viral effect, high saves &amp; shares.</t>
    </r>
  </si>
  <si>
    <r>
      <t>Team Activities &amp; Fun Challenges</t>
    </r>
    <r>
      <rPr>
        <sz val="11"/>
        <color theme="1"/>
        <rFont val="Aptos Narrow"/>
        <family val="2"/>
        <scheme val="minor"/>
      </rPr>
      <t xml:space="preserve"> → Drive steady engagement &amp; strong balance of follower + non-follower reach.</t>
    </r>
  </si>
  <si>
    <r>
      <t>Tech Event Collabs</t>
    </r>
    <r>
      <rPr>
        <sz val="11"/>
        <color theme="1"/>
        <rFont val="Aptos Narrow"/>
        <family val="2"/>
        <scheme val="minor"/>
      </rPr>
      <t xml:space="preserve"> → Huge visibility boost.</t>
    </r>
  </si>
  <si>
    <r>
      <t>Birthdays &amp; Work Anniversaries</t>
    </r>
    <r>
      <rPr>
        <sz val="11"/>
        <color theme="1"/>
        <rFont val="Aptos Narrow"/>
        <family val="2"/>
        <scheme val="minor"/>
      </rPr>
      <t xml:space="preserve"> → Mostly internal reach (followers), good for culture, not discovery.</t>
    </r>
  </si>
  <si>
    <r>
      <t>Age</t>
    </r>
    <r>
      <rPr>
        <sz val="11"/>
        <color theme="1"/>
        <rFont val="Aptos Narrow"/>
        <family val="2"/>
        <scheme val="minor"/>
      </rPr>
      <t xml:space="preserve"> → Majority </t>
    </r>
    <r>
      <rPr>
        <b/>
        <sz val="11"/>
        <color theme="1"/>
        <rFont val="Aptos Narrow"/>
        <family val="2"/>
        <scheme val="minor"/>
      </rPr>
      <t>25–34</t>
    </r>
    <r>
      <rPr>
        <sz val="11"/>
        <color theme="1"/>
        <rFont val="Aptos Narrow"/>
        <family val="2"/>
        <scheme val="minor"/>
      </rPr>
      <t xml:space="preserve">, secondary </t>
    </r>
    <r>
      <rPr>
        <b/>
        <sz val="11"/>
        <color theme="1"/>
        <rFont val="Aptos Narrow"/>
        <family val="2"/>
        <scheme val="minor"/>
      </rPr>
      <t>18–24</t>
    </r>
    <r>
      <rPr>
        <sz val="11"/>
        <color theme="1"/>
        <rFont val="Aptos Narrow"/>
        <family val="2"/>
        <scheme val="minor"/>
      </rPr>
      <t>.</t>
    </r>
  </si>
  <si>
    <r>
      <t>Gender</t>
    </r>
    <r>
      <rPr>
        <sz val="11"/>
        <color theme="1"/>
        <rFont val="Aptos Narrow"/>
        <family val="2"/>
        <scheme val="minor"/>
      </rPr>
      <t xml:space="preserve"> → Fairly balanced, slight female tilt on event &amp; professional posts.</t>
    </r>
  </si>
  <si>
    <r>
      <t>Funny &amp; Challenge Reels</t>
    </r>
    <r>
      <rPr>
        <sz val="11"/>
        <color theme="1"/>
        <rFont val="Aptos Narrow"/>
        <family val="2"/>
        <scheme val="minor"/>
      </rPr>
      <t xml:space="preserve"> → More saves + shares → higher viral potential.</t>
    </r>
  </si>
  <si>
    <r>
      <t>Collab Events</t>
    </r>
    <r>
      <rPr>
        <sz val="11"/>
        <color theme="1"/>
        <rFont val="Aptos Narrow"/>
        <family val="2"/>
        <scheme val="minor"/>
      </rPr>
      <t xml:space="preserve"> → Drive </t>
    </r>
    <r>
      <rPr>
        <i/>
        <sz val="11"/>
        <color theme="1"/>
        <rFont val="Aptos Narrow"/>
        <family val="2"/>
        <scheme val="minor"/>
      </rPr>
      <t>profile visits &amp; external taps</t>
    </r>
    <r>
      <rPr>
        <sz val="11"/>
        <color theme="1"/>
        <rFont val="Aptos Narrow"/>
        <family val="2"/>
        <scheme val="minor"/>
      </rPr>
      <t xml:space="preserve"> → ideal for brand awareness &amp; lead-gen.</t>
    </r>
  </si>
  <si>
    <r>
      <t>Cultural/Seasonal Posts</t>
    </r>
    <r>
      <rPr>
        <sz val="11"/>
        <color theme="1"/>
        <rFont val="Aptos Narrow"/>
        <family val="2"/>
        <scheme val="minor"/>
      </rPr>
      <t xml:space="preserve"> → Medium engagement, mostly followers, but important for community presence.</t>
    </r>
  </si>
  <si>
    <t>5. Best Posting Times &amp; Days</t>
  </si>
  <si>
    <r>
      <t>Evenings (5–9 PM)</t>
    </r>
    <r>
      <rPr>
        <sz val="11"/>
        <color theme="1"/>
        <rFont val="Aptos Narrow"/>
        <family val="2"/>
        <scheme val="minor"/>
      </rPr>
      <t xml:space="preserve"> → Strongest reach &amp; engagement.</t>
    </r>
  </si>
  <si>
    <r>
      <t>Fridays &amp; Mondays</t>
    </r>
    <r>
      <rPr>
        <sz val="11"/>
        <color theme="1"/>
        <rFont val="Aptos Narrow"/>
        <family val="2"/>
        <scheme val="minor"/>
      </rPr>
      <t xml:space="preserve"> → Multiple top-performing posts on these days.</t>
    </r>
  </si>
  <si>
    <r>
      <t>Late nights (10+ PM)</t>
    </r>
    <r>
      <rPr>
        <sz val="11"/>
        <color theme="1"/>
        <rFont val="Aptos Narrow"/>
        <family val="2"/>
        <scheme val="minor"/>
      </rPr>
      <t xml:space="preserve"> → Consistently weak performance.</t>
    </r>
  </si>
  <si>
    <r>
      <t>1. Double down on Reels</t>
    </r>
    <r>
      <rPr>
        <sz val="11"/>
        <color theme="1"/>
        <rFont val="Aptos Narrow"/>
        <family val="2"/>
        <scheme val="minor"/>
      </rPr>
      <t xml:space="preserve"> → Especially funny/team reels &amp; challenges → bring non-followers &amp; boost reach.</t>
    </r>
  </si>
  <si>
    <r>
      <t>2. Leverage collabs</t>
    </r>
    <r>
      <rPr>
        <sz val="11"/>
        <color theme="1"/>
        <rFont val="Aptos Narrow"/>
        <family val="2"/>
        <scheme val="minor"/>
      </rPr>
      <t xml:space="preserve"> with tech/global partners → amplify international visibility.</t>
    </r>
  </si>
  <si>
    <r>
      <t>3. Carousels/Static</t>
    </r>
    <r>
      <rPr>
        <sz val="11"/>
        <color theme="1"/>
        <rFont val="Aptos Narrow"/>
        <family val="2"/>
        <scheme val="minor"/>
      </rPr>
      <t xml:space="preserve"> → Keep for internal culture (birthdays, greetings, recaps).</t>
    </r>
  </si>
  <si>
    <r>
      <t>4. Timing sweet spot</t>
    </r>
    <r>
      <rPr>
        <sz val="11"/>
        <color theme="1"/>
        <rFont val="Aptos Narrow"/>
        <family val="2"/>
        <scheme val="minor"/>
      </rPr>
      <t xml:space="preserve"> → Post between </t>
    </r>
    <r>
      <rPr>
        <b/>
        <sz val="11"/>
        <color theme="1"/>
        <rFont val="Aptos Narrow"/>
        <family val="2"/>
        <scheme val="minor"/>
      </rPr>
      <t>5–9 PM</t>
    </r>
    <r>
      <rPr>
        <sz val="11"/>
        <color theme="1"/>
        <rFont val="Aptos Narrow"/>
        <family val="2"/>
        <scheme val="minor"/>
      </rPr>
      <t xml:space="preserve">, aim for </t>
    </r>
    <r>
      <rPr>
        <b/>
        <sz val="11"/>
        <color theme="1"/>
        <rFont val="Aptos Narrow"/>
        <family val="2"/>
        <scheme val="minor"/>
      </rPr>
      <t>Fridays &amp; Mondays</t>
    </r>
    <r>
      <rPr>
        <sz val="11"/>
        <color theme="1"/>
        <rFont val="Aptos Narrow"/>
        <family val="2"/>
        <scheme val="minor"/>
      </rPr>
      <t>.</t>
    </r>
  </si>
  <si>
    <r>
      <t>5. Balanced content mix</t>
    </r>
    <r>
      <rPr>
        <sz val="11"/>
        <color theme="1"/>
        <rFont val="Aptos Narrow"/>
        <family val="2"/>
        <scheme val="minor"/>
      </rPr>
      <t>:</t>
    </r>
  </si>
  <si>
    <r>
      <t>Reels = growth</t>
    </r>
    <r>
      <rPr>
        <sz val="11"/>
        <color theme="1"/>
        <rFont val="Aptos Narrow"/>
        <family val="2"/>
        <scheme val="minor"/>
      </rPr>
      <t xml:space="preserve"> (non-followers).</t>
    </r>
  </si>
  <si>
    <r>
      <t>Birthdays/anniversaries = culture</t>
    </r>
    <r>
      <rPr>
        <sz val="11"/>
        <color theme="1"/>
        <rFont val="Aptos Narrow"/>
        <family val="2"/>
        <scheme val="minor"/>
      </rPr>
      <t xml:space="preserve"> (followers).</t>
    </r>
  </si>
  <si>
    <r>
      <t>Collabs/testimonials = credibility</t>
    </r>
    <r>
      <rPr>
        <sz val="11"/>
        <color theme="1"/>
        <rFont val="Aptos Narrow"/>
        <family val="2"/>
        <scheme val="minor"/>
      </rPr>
      <t xml:space="preserve"> (clients/partners).</t>
    </r>
  </si>
  <si>
    <t>Growth Engine = funny reels + collabs</t>
  </si>
  <si>
    <t>Culture Builder = birthday/anniversary posts</t>
  </si>
  <si>
    <t>Credibility Driver = tech/event collabs &amp; testimonials</t>
  </si>
  <si>
    <t xml:space="preserve">Instagram Insights </t>
  </si>
  <si>
    <t>Quick Summary</t>
  </si>
  <si>
    <t>Video Views</t>
  </si>
  <si>
    <t>Page Views</t>
  </si>
  <si>
    <t>Engagement</t>
  </si>
  <si>
    <t>6h 46m 1s</t>
  </si>
  <si>
    <t>Job Titles</t>
  </si>
  <si>
    <t>Companies</t>
  </si>
  <si>
    <t>Software Developer  38.4%
Project Manager  2.5%
Human Resources Specialist  2.3%
Software Tester  2.2%
Salesperson  2%</t>
  </si>
  <si>
    <t>Fiverr  1.9%
Upwork  1.6%
Systems Limited  &lt; 1%
9D Technologies  &lt; 1%
Ähdus Technology GmbH  &lt; 1%</t>
  </si>
  <si>
    <t>3h 54m 9s</t>
  </si>
  <si>
    <t>5s</t>
  </si>
  <si>
    <t>Software Developer  34.7%
Human Resources Specialist  3.4%
Salesperson  3%
Project Manager  3%
Software Tester  2.8%</t>
  </si>
  <si>
    <t>Upwork  1.6%
Fiverr  1.2%
Embrace IT Technologies  &lt; 1%
Ähdus Technology GmbH  &lt; 1%
Octaloop IT &amp; NS  &lt; 1%</t>
  </si>
  <si>
    <t>3h 52m 7s</t>
  </si>
  <si>
    <t>Software Developer  36.7%
Project Manager  3.3%
Human Resources Specialist  2.5%
Software Tester  2.3%
Founder  2.1%</t>
  </si>
  <si>
    <t>Fiverr  1.6%
Upwork  1.6%
Embrace IT Technologies  &lt; 1%
TriVA Global  &lt; 1%
Ähdus Technology GmbH  &lt; 1%</t>
  </si>
  <si>
    <t>3h 1m 35s</t>
  </si>
  <si>
    <t>Software Developer  36.5%
Human Resources Specialist  3.6%
Project Manager  3%
Software Tester  2.5%
Salesperson  2.2%</t>
  </si>
  <si>
    <t>Upwork  1.1%
Fiverr  1.1%
Rain Stella Technologies  1.1%
Systems Limited  &lt; 1%
Ähdus Technology GmbH  &lt; 1%</t>
  </si>
  <si>
    <t>10h 35m 31s</t>
  </si>
  <si>
    <t>Software Developer  35.3%
Human Resources Specialist  3.2%
Project Manager  3%
Software Tester  2.6%
Salesperson  2.5%</t>
  </si>
  <si>
    <t>Fiverr  1.3%
Upwork  1.2%
Systems Limited  &lt; 1%
Embrace IT Technologies  &lt; 1%
Ähdus Technology GmbH  &lt; 1%</t>
  </si>
  <si>
    <t>1h 20m 29s</t>
  </si>
  <si>
    <t>Software Developer  34.3%
Salesperson  3.1%
Project Manager  2.8%
Founder  2.6%
Software Tester  2.2%</t>
  </si>
  <si>
    <t>Ähdus Technology GmbH  1.3%</t>
  </si>
  <si>
    <t>4h 56m 46s</t>
  </si>
  <si>
    <t>Software Developer  38.2%
Software Tester  3.2%
Project Manager  3.1%
Human Resources Specialist  2.6%
Creative Designer  2.3%</t>
  </si>
  <si>
    <t>Upwork  1.1%
Fiverr  &lt; 1%
Octaloop IT &amp; NS  &lt; 1%
Vizz Web Solutions Pvt. Ltd  &lt; 1%
Ähdus Technology GmbH  &lt; 1%</t>
  </si>
  <si>
    <t>13h 4m 11s</t>
  </si>
  <si>
    <t>15s</t>
  </si>
  <si>
    <t>Software Developer  31.4%
Software Tester  3.8%
Project Manager  2.9%
Human Resources Specialist  2.5%
Salesperson  2.4%</t>
  </si>
  <si>
    <t>Upwork  &lt; 1%
Fiverr  &lt; 1%
Risk Associates - EMEA &amp; Asia  &lt; 1%
Rain Stella Technologies  &lt; 1%
Ähdus Technology GmbH  &lt; 1%</t>
  </si>
  <si>
    <t>7h 58m 19s</t>
  </si>
  <si>
    <t>Software Developer  30.6%
Salesperson  3.7%
Human Resources Specialist  3.2%
Software Tester  2.9%
Project Manager  2.9%</t>
  </si>
  <si>
    <t>Upwork  1%
Fiverr  &lt; 1%
Octaloop IT &amp; NS  &lt; 1%
Systems Limited  &lt; 1%
Ähdus Technology GmbH  &lt; 1%</t>
  </si>
  <si>
    <t>2h 12m 4s</t>
  </si>
  <si>
    <t>Software Developer  35.7%
Software Tester  3.6%
Human Resources Specialist  2.9%
Project Manager  2.8%
Technology Manager  2.6%</t>
  </si>
  <si>
    <t>Systems Limited  1.5%
Octaloop IT &amp; NS  1.1%
Ähdus Technology GmbH  &lt; 1%
Rain Stella Technologies  &lt; 1%</t>
  </si>
  <si>
    <t>1h 5m 2s</t>
  </si>
  <si>
    <t>Software Developer  37.3%
Project Manager  3.6%
Software Tester  3.1%
Creative Designer  2.8%
Human Resources Specialist  2.2%</t>
  </si>
  <si>
    <t>Octaloop IT &amp; NS  1.6%
Upwork  1.4%
Systems Limited  1.2%
Ähdus Technology GmbH  1%</t>
  </si>
  <si>
    <t>3h 43m 30s</t>
  </si>
  <si>
    <t>Software Developer  31.4%
Software Tester  3.2%
Project Manager  3.1%
Founder  3%
Technology Manager  2.7%</t>
  </si>
  <si>
    <t>Octaloop IT &amp; NS  1.8%
Upwork  &lt; 1%
Systems Limited  &lt; 1%
Rain Stella Technologies  &lt; 1%
Ähdus Technology GmbH  &lt; 1%</t>
  </si>
  <si>
    <t>7h 47m 41s</t>
  </si>
  <si>
    <t>21s</t>
  </si>
  <si>
    <t>Software Developer  27.7%
Founder  3.5%
Project Manager  3.5%
Software Tester  2.7%
Salesperson  2.5%</t>
  </si>
  <si>
    <t>Rain Stella Technologies  1.4%
Upwork  1.2%
Systems Limited  &lt; 1%
Octaloop IT &amp; NS  &lt; 1%
Ähdus Technology GmbH  &lt; 1%</t>
  </si>
  <si>
    <t>3h 59m 39s</t>
  </si>
  <si>
    <t>Software Developer  21.9%
Project Manager  3.9%
Human Resources Specialist  3.7%
Salesperson  3.5%
Founder  3.2%</t>
  </si>
  <si>
    <t>Upwork  1.2%
Octaloop IT &amp; NS  1.1%
Fiverr  &lt; 1%
Ähdus Technology GmbH  &lt; 1%
Shadiyana  &lt; 1%</t>
  </si>
  <si>
    <t>10h 19m 15s</t>
  </si>
  <si>
    <t>14s</t>
  </si>
  <si>
    <t>Software Developer  30.2%
Software Tester  3.1%
Project Manager  2.6%
Founder  2.5%
Salesperson  2.4%</t>
  </si>
  <si>
    <t>Fiverr  1.3%
Octaloop IT &amp; NS  &lt; 1%
Upwork  &lt; 1%
Oak Street Technologies Pakistan  &lt; 1%
Ähdus Technology GmbH  &lt; 1%</t>
  </si>
  <si>
    <t>1. Content Type Performance</t>
  </si>
  <si>
    <t>Highest engagement rates (8–12%+).</t>
  </si>
  <si>
    <t>Examples:</t>
  </si>
  <si>
    <t>Saad Ahmed Saeed welcome reel → 11.94% engagement, 2629 views.</t>
  </si>
  <si>
    <t>ChatGPT vs DeepSeek reel → 10.72% engagement.</t>
  </si>
  <si>
    <t>Team Aftar Buffet reel → 10.93% engagement.</t>
  </si>
  <si>
    <t>Consistently strong reach and high watch times → audience prefers dynamic, video-first storytelling.</t>
  </si>
  <si>
    <t>Also very strong, especially for team culture posts.</t>
  </si>
  <si>
    <t>Women’s Day (38.75% ER).</t>
  </si>
  <si>
    <t>Team Lunch (35.29% ER).</t>
  </si>
  <si>
    <t>Visual storytelling + tagging team members = high resonance.</t>
  </si>
  <si>
    <t>Mixed performance.</t>
  </si>
  <si>
    <t>Event promos and partnership updates perform better (10–18% ER, e.g., Startup Night 18.6%, Munich partnership 18.1%).</t>
  </si>
  <si>
    <t>Festive greetings and generic messages (New Year, Easter) = very low engagement (1–6%).</t>
  </si>
  <si>
    <t>Top Job Titles engaging:</t>
  </si>
  <si>
    <t>Software Developers (30–38% consistently).</t>
  </si>
  <si>
    <t>Project Managers, Testers, Founders, HR specialists appear in smaller but steady percentages.</t>
  </si>
  <si>
    <t>Top Companies engaging:</t>
  </si>
  <si>
    <t>Freelance/contract platforms (Upwork, Fiverr) and mid-sized tech firms (Octaloop IT &amp; NS, Systems Limited, Rain Stella Tech).</t>
  </si>
  <si>
    <t>Indicates good traction among freelancers + emerging tech firms → relevant for partnerships &amp; hiring.</t>
  </si>
  <si>
    <t>1. Double down on Reels &amp; Carousels → They’re outperforming static posts by 5–10x.</t>
  </si>
  <si>
    <t>Use reels for team intros, culture, quick explainers.</t>
  </si>
  <si>
    <t>Use carousels for event highlights, AHA moments, partnerships.</t>
  </si>
  <si>
    <t>2. Personal + Cultural Content Wins</t>
  </si>
  <si>
    <t>Birthdays, anniversaries, lunches, Ramadan, Women’s Day → massive engagement.</t>
  </si>
  <si>
    <t>Leverage this as “Ähdus culture branding” to attract talent + partners.</t>
  </si>
  <si>
    <t>3. Technical / Thought Leadership Needs Visual Boost</t>
  </si>
  <si>
    <t>Static tech insights (AI/automation/comparison posts) underperform in static format.</t>
  </si>
  <si>
    <t>Repurpose into short explainer reels or infographic carousels for stronger traction.</t>
  </si>
  <si>
    <t>4. Event &amp; Partnership Announcements = Gold</t>
  </si>
  <si>
    <t>Posts about Startup Night, partnerships, and international events see 10–18% ER.</t>
  </si>
  <si>
    <t>Strategy: Post before + during + after events with reels/carousels instead of plain static.</t>
  </si>
  <si>
    <t>Chaee AHA moments (49.07% ER ).</t>
  </si>
  <si>
    <t>2. Audience Insights</t>
  </si>
  <si>
    <t>Takeaway → The content is mostly resonating with technical professionals + decision makers, which is good for our positioning.</t>
  </si>
  <si>
    <t xml:space="preserve"> 4. Strategic Insights</t>
  </si>
  <si>
    <t>23/05/2025</t>
  </si>
  <si>
    <t>28/05/2025</t>
  </si>
  <si>
    <t>23/06/2025</t>
  </si>
  <si>
    <t>21/07/2025</t>
  </si>
  <si>
    <t>30/07/2025</t>
  </si>
  <si>
    <t>14/08/2025</t>
  </si>
  <si>
    <t>15/08/2025</t>
  </si>
  <si>
    <t>21/08/2025</t>
  </si>
  <si>
    <t>22/08/2025</t>
  </si>
  <si>
    <t>19/09/2025</t>
  </si>
  <si>
    <t>25/09/2025</t>
  </si>
  <si>
    <t>26/09/2025</t>
  </si>
  <si>
    <t>Created Date</t>
  </si>
  <si>
    <t>Monday &amp; Wednesday → Best days</t>
  </si>
  <si>
    <t>Many high-performing posts (reels &amp; carousels) landed on these days.</t>
  </si>
  <si>
    <t>Friday → Mixed</t>
  </si>
  <si>
    <t>Technical comparison reel (7 Feb) did well.</t>
  </si>
  <si>
    <t>But lighter posts (pizza, fun Fridays) had engagement only if carousel/reel.</t>
  </si>
  <si>
    <t>Saturday &amp; Sunday → Generally weaker</t>
  </si>
  <si>
    <t>Example: New Year static posts (Wed vs Thu vs Sat) → Wed &amp; Thu performed better than Sat.</t>
  </si>
  <si>
    <t>Keep Fri for lighter/team bonding content.</t>
  </si>
  <si>
    <t>3. Day-of-Week Performance</t>
  </si>
  <si>
    <t>5. Timing Insights</t>
  </si>
  <si>
    <t>Use weekend posts rarely, only for holidays/events.</t>
  </si>
  <si>
    <t>30/12/2024</t>
  </si>
  <si>
    <t>31/12/2024</t>
  </si>
  <si>
    <t>13/05/2025</t>
  </si>
  <si>
    <t>14/05/2025</t>
  </si>
  <si>
    <t>15/05/2025</t>
  </si>
  <si>
    <t>16/05/2025</t>
  </si>
  <si>
    <t>17/05/2025</t>
  </si>
  <si>
    <t>18/05/2025</t>
  </si>
  <si>
    <t>19/05/2025</t>
  </si>
  <si>
    <t>20/05/2025</t>
  </si>
  <si>
    <t>21/05/2025</t>
  </si>
  <si>
    <t>22/05/2025</t>
  </si>
  <si>
    <t>24/05/2025</t>
  </si>
  <si>
    <t>25/05/2025</t>
  </si>
  <si>
    <t>26/05/2025</t>
  </si>
  <si>
    <t>27/05/2025</t>
  </si>
  <si>
    <t>29/05/2025</t>
  </si>
  <si>
    <t>30/05/2025</t>
  </si>
  <si>
    <t>31/05/2025</t>
  </si>
  <si>
    <t>13/06/2025</t>
  </si>
  <si>
    <t>14/06/2025</t>
  </si>
  <si>
    <t>15/06/2025</t>
  </si>
  <si>
    <t>16/06/2025</t>
  </si>
  <si>
    <t>17/06/2025</t>
  </si>
  <si>
    <t>18/06/2025</t>
  </si>
  <si>
    <t>19/06/2025</t>
  </si>
  <si>
    <t>20/06/2025</t>
  </si>
  <si>
    <t>21/06/2025</t>
  </si>
  <si>
    <t>22/06/2025</t>
  </si>
  <si>
    <t>24/06/2025</t>
  </si>
  <si>
    <t>25/06/2025</t>
  </si>
  <si>
    <t>26/06/2025</t>
  </si>
  <si>
    <t>27/06/2025</t>
  </si>
  <si>
    <t>28/06/2025</t>
  </si>
  <si>
    <t>29/06/2025</t>
  </si>
  <si>
    <t>30/06/2025</t>
  </si>
  <si>
    <t>13/07/2025</t>
  </si>
  <si>
    <t>14/07/2025</t>
  </si>
  <si>
    <t>15/07/2025</t>
  </si>
  <si>
    <t>16/07/2025</t>
  </si>
  <si>
    <t>17/07/2025</t>
  </si>
  <si>
    <t>18/07/2025</t>
  </si>
  <si>
    <t>19/07/2025</t>
  </si>
  <si>
    <t>20/07/2025</t>
  </si>
  <si>
    <t>22/07/2025</t>
  </si>
  <si>
    <t>23/07/2025</t>
  </si>
  <si>
    <t>24/07/2025</t>
  </si>
  <si>
    <t>25/07/2025</t>
  </si>
  <si>
    <t>26/07/2025</t>
  </si>
  <si>
    <t>27/07/2025</t>
  </si>
  <si>
    <t>28/07/2025</t>
  </si>
  <si>
    <t>29/07/2025</t>
  </si>
  <si>
    <t>31/07/2025</t>
  </si>
  <si>
    <t>13/08/2025</t>
  </si>
  <si>
    <t>16/08/2025</t>
  </si>
  <si>
    <t>17/08/2025</t>
  </si>
  <si>
    <t>18/08/2025</t>
  </si>
  <si>
    <t>19/08/2025</t>
  </si>
  <si>
    <t>20/08/2025</t>
  </si>
  <si>
    <t>23/08/2025</t>
  </si>
  <si>
    <t>24/08/2025</t>
  </si>
  <si>
    <t>25/08/2025</t>
  </si>
  <si>
    <t>26/08/2025</t>
  </si>
  <si>
    <t>27/08/2025</t>
  </si>
  <si>
    <t>28/08/2025</t>
  </si>
  <si>
    <t>29/08/2025</t>
  </si>
  <si>
    <t>30/08/2025</t>
  </si>
  <si>
    <t>31/08/2025</t>
  </si>
  <si>
    <t>13/09/2025</t>
  </si>
  <si>
    <t>14/09/2025</t>
  </si>
  <si>
    <t>15/09/2025</t>
  </si>
  <si>
    <t>16/09/2025</t>
  </si>
  <si>
    <t>17/09/2025</t>
  </si>
  <si>
    <t>18/09/2025</t>
  </si>
  <si>
    <t>20/09/2025</t>
  </si>
  <si>
    <t>21/09/2025</t>
  </si>
  <si>
    <t>22/09/2025</t>
  </si>
  <si>
    <t>23/09/2025</t>
  </si>
  <si>
    <t>24/09/2025</t>
  </si>
  <si>
    <t>27/09/2025</t>
  </si>
  <si>
    <t>SU</t>
  </si>
  <si>
    <t>1. Best Performing Days</t>
  </si>
  <si>
    <t>Mondays &amp; Wednesdays consistently bring in the highest impressions and clicks.</t>
  </si>
  <si>
    <t>Example:</t>
  </si>
  <si>
    <t>Mon, 6/1/2025 → 1,100 impressions, 318 clicks (ER: 0.325).</t>
  </si>
  <si>
    <t>Wed, 8/1/2025 → 1,489 impressions, 129 clicks.</t>
  </si>
  <si>
    <t>Mon, 24/2/2025 → 1,882 impressions, 745 clicks (ER: 0.43).</t>
  </si>
  <si>
    <t>Wed, 5/3/2025 → 1,441 impressions, 392 clicks (ER: 0.299).</t>
  </si>
  <si>
    <t>2. Weaker Days</t>
  </si>
  <si>
    <t>Saturdays &amp; Sundays usually show lower impressions and inconsistent engagement.</t>
  </si>
  <si>
    <t>Sat, 4/1/2025 → Only 75 impressions.</t>
  </si>
  <si>
    <t>Sun, 16/2/2025 → 153 impressions.</t>
  </si>
  <si>
    <t>Exceptions:</t>
  </si>
  <si>
    <t>Sat, 8/3/2025 → 1,645 impressions, ER: 0.378.</t>
  </si>
  <si>
    <t>Sun, 9/3/2025 → 759 impressions, ER: 0.393.</t>
  </si>
  <si>
    <t>3. Engagement Rate (ER) Trends</t>
  </si>
  <si>
    <t>Strongest ER spikes (above 0.3):</t>
  </si>
  <si>
    <t>24/2/2025 (Mon) → 0.431.</t>
  </si>
  <si>
    <t>25/2/2025 (Tue) → 0.399.</t>
  </si>
  <si>
    <t>8/3/2025 (Sat) → 0.378.</t>
  </si>
  <si>
    <t>9/3/2025 (Sun) → 0.393.</t>
  </si>
  <si>
    <t>Weaker ER days are often tied to posts with high impressions but fewer clicks/reactions (e.g., Tue 28/1/2025 → 2,513 impressions, but ER only 0.027).</t>
  </si>
  <si>
    <t>4. Clicks &amp; Engagement Patterns</t>
  </si>
  <si>
    <t>Posts with visuals or strong CTAs (call-to-action) seem to drive higher clicks.</t>
  </si>
  <si>
    <t>Mon, 6/1/2025 → 318 clicks, 33 reactions.</t>
  </si>
  <si>
    <t>Wed, 22/1/2025 → 330 clicks, ER: 0.349.</t>
  </si>
  <si>
    <t>Some high-impression posts underperformed in clicks (e.g., Tue, 28/1/2025).</t>
  </si>
  <si>
    <t>5. Day-of-Week Ranking (overall averages)</t>
  </si>
  <si>
    <t>Based on both impressions + engagement:</t>
  </si>
  <si>
    <t>1. Monday – best for impressions + engagement.</t>
  </si>
  <si>
    <t>2. Wednesday – strong reach, steady ER.</t>
  </si>
  <si>
    <t>3. Tuesday – good for ER, slightly lower impressions.</t>
  </si>
  <si>
    <t>4. Friday – mixed; some strong posts, but generally lower.</t>
  </si>
  <si>
    <t>5. Thursday – middle ground, variable results.</t>
  </si>
  <si>
    <t>6. Saturday &amp; Sunday – usually lowest, but can spike if content is engaging/personal.</t>
  </si>
  <si>
    <t>1. Double Down on Mon &amp; Wed Posts</t>
  </si>
  <si>
    <t>Post major thought-leadership, event updates, and data-driven content on these days.</t>
  </si>
  <si>
    <t>2. Use Weekends for Human-Centric Content</t>
  </si>
  <si>
    <t>Storytelling, team culture, behind-the-scenes, or milestone posts work better here.</t>
  </si>
  <si>
    <t>3. Track ER more than impressions</t>
  </si>
  <si>
    <t>Focus on posts that convert into clicks and reactions, not just views.</t>
  </si>
  <si>
    <t>4. Experiment with Tuesday high-engagement slots</t>
  </si>
  <si>
    <t>Since Feb/March data shows spikes on Tuesdays with certain posts.</t>
  </si>
  <si>
    <t>5. Reduce Low-Return Posts</t>
  </si>
  <si>
    <t>Posts with high impressions but very low ER (e.g., Jan 28) might need stronger CTAs or more relatable hooks.</t>
  </si>
  <si>
    <t>Key Insights from the Data</t>
  </si>
  <si>
    <t>Pattern: Mondays often have both reach + high engagement. Wednesdays bring strong impressions and decent click-through.</t>
  </si>
  <si>
    <t>High reach ≠ high engagement. The content type matters more than impressions.</t>
  </si>
  <si>
    <t>Content that promises value (guides, insights, updates, case studies) likely drives clicks.</t>
  </si>
  <si>
    <t>Key Takeaways</t>
  </si>
  <si>
    <t>Weekends can still work if content is very engaging (storytelling, community-driven, lighter posts).</t>
  </si>
  <si>
    <t>16/1/2025</t>
  </si>
  <si>
    <t>17/1/2025</t>
  </si>
  <si>
    <t>20/1/2025</t>
  </si>
  <si>
    <t>28/1/2025</t>
  </si>
  <si>
    <t>31/1/2025</t>
  </si>
  <si>
    <t>24/3/2025</t>
  </si>
  <si>
    <t>14/4/2025</t>
  </si>
  <si>
    <t>25/4/2025</t>
  </si>
  <si>
    <t>30/4/2025</t>
  </si>
  <si>
    <t>13/1/2025</t>
  </si>
  <si>
    <t>14/1/2025</t>
  </si>
  <si>
    <t>15/1/2025</t>
  </si>
  <si>
    <t>18/1/2025</t>
  </si>
  <si>
    <t>19/1/2025</t>
  </si>
  <si>
    <t>21/1/2025</t>
  </si>
  <si>
    <t>23/1/2025</t>
  </si>
  <si>
    <t>25/1/2025</t>
  </si>
  <si>
    <t>26/1/2025</t>
  </si>
  <si>
    <t>27/1/2025</t>
  </si>
  <si>
    <t>29/1/2025</t>
  </si>
  <si>
    <t>30/1/2025</t>
  </si>
  <si>
    <t>14/2/2025</t>
  </si>
  <si>
    <t>15/2/2025</t>
  </si>
  <si>
    <t>16/2/2025</t>
  </si>
  <si>
    <t>17/2/2025</t>
  </si>
  <si>
    <t>18/2/2025</t>
  </si>
  <si>
    <t>19/2/2025</t>
  </si>
  <si>
    <t>20/2/2025</t>
  </si>
  <si>
    <t>21/2/2025</t>
  </si>
  <si>
    <t>23/2/2025</t>
  </si>
  <si>
    <t>25/2/2025</t>
  </si>
  <si>
    <t>26/2/2025</t>
  </si>
  <si>
    <t>28/2/2025</t>
  </si>
  <si>
    <t>14/3/2025</t>
  </si>
  <si>
    <t>15/3/2025</t>
  </si>
  <si>
    <t>16/3/2025</t>
  </si>
  <si>
    <t>17/3/2025</t>
  </si>
  <si>
    <t>18/3/2025</t>
  </si>
  <si>
    <t>19/3/2025</t>
  </si>
  <si>
    <t>20/3/2025</t>
  </si>
  <si>
    <t>23/3/2025</t>
  </si>
  <si>
    <t>25/3/2025</t>
  </si>
  <si>
    <t>26/3/2025</t>
  </si>
  <si>
    <t>27/3/2025</t>
  </si>
  <si>
    <t>28/3/2025</t>
  </si>
  <si>
    <t>29/3/2025</t>
  </si>
  <si>
    <t>30/3/2025</t>
  </si>
  <si>
    <t>31/3/2025</t>
  </si>
  <si>
    <t>13/4/2025</t>
  </si>
  <si>
    <t>15/4/2025</t>
  </si>
  <si>
    <t>16/4/2025</t>
  </si>
  <si>
    <t>17/4/2025</t>
  </si>
  <si>
    <t>18/4/2025</t>
  </si>
  <si>
    <t>19/4/2025</t>
  </si>
  <si>
    <t>21/4/2025</t>
  </si>
  <si>
    <t>22/4/2025</t>
  </si>
  <si>
    <t>23/4/2025</t>
  </si>
  <si>
    <t>24/4/2025</t>
  </si>
  <si>
    <t>26/4/2025</t>
  </si>
  <si>
    <t>27/4/2025</t>
  </si>
  <si>
    <t>28/4/2025</t>
  </si>
  <si>
    <t>29/4/2025</t>
  </si>
  <si>
    <t>Reels:</t>
  </si>
  <si>
    <t>Carousels:</t>
  </si>
  <si>
    <t>Static Posts:</t>
  </si>
  <si>
    <t>Examples: 6 Jan (client carousel), 8 Jan (birthday post), 20 Jan (team reel), 24 Feb (team carousel), 5 Mar (Ramadan carousel), 28 May 
(team lunch carousel).</t>
  </si>
  <si>
    <t>Ramadan post on Saturday did well but likely boosted by cultural timing, not week of the day.</t>
  </si>
  <si>
    <t>Post core announcements, reels, and carousels, Mon–Wed.</t>
  </si>
  <si>
    <r>
      <t xml:space="preserve">Example: </t>
    </r>
    <r>
      <rPr>
        <i/>
        <sz val="11"/>
        <color theme="1"/>
        <rFont val="Aptos Narrow"/>
        <family val="2"/>
        <scheme val="minor"/>
      </rPr>
      <t>Manager Asking to Stay After 7pm</t>
    </r>
    <r>
      <rPr>
        <sz val="11"/>
        <color theme="1"/>
        <rFont val="Aptos Narrow"/>
        <family val="2"/>
        <scheme val="minor"/>
      </rPr>
      <t xml:space="preserve"> &amp; </t>
    </r>
    <r>
      <rPr>
        <i/>
        <sz val="11"/>
        <color theme="1"/>
        <rFont val="Aptos Narrow"/>
        <family val="2"/>
        <scheme val="minor"/>
      </rPr>
      <t>Team Lead Funny Reel</t>
    </r>
    <r>
      <rPr>
        <sz val="11"/>
        <color theme="1"/>
        <rFont val="Aptos Narrow"/>
        <family val="2"/>
        <scheme val="minor"/>
      </rPr>
      <t>.</t>
    </r>
  </si>
  <si>
    <r>
      <t xml:space="preserve">Example: </t>
    </r>
    <r>
      <rPr>
        <i/>
        <sz val="11"/>
        <color theme="1"/>
        <rFont val="Aptos Narrow"/>
        <family val="2"/>
        <scheme val="minor"/>
      </rPr>
      <t>WeAreDevelopers Berlin collab</t>
    </r>
    <r>
      <rPr>
        <sz val="11"/>
        <color theme="1"/>
        <rFont val="Aptos Narrow"/>
        <family val="2"/>
        <scheme val="minor"/>
      </rPr>
      <t xml:space="preserve"> &amp; </t>
    </r>
    <r>
      <rPr>
        <i/>
        <sz val="11"/>
        <color theme="1"/>
        <rFont val="Aptos Narrow"/>
        <family val="2"/>
        <scheme val="minor"/>
      </rPr>
      <t>MLSA collabs</t>
    </r>
    <r>
      <rPr>
        <sz val="11"/>
        <color theme="1"/>
        <rFont val="Aptos Narrow"/>
        <family val="2"/>
        <scheme val="minor"/>
      </rPr>
      <t>.</t>
    </r>
  </si>
  <si>
    <t>Jan'25</t>
  </si>
  <si>
    <t>Feb'25</t>
  </si>
  <si>
    <t>Mar'25</t>
  </si>
  <si>
    <t>Apr'25</t>
  </si>
  <si>
    <t>May'25</t>
  </si>
  <si>
    <t>Jun'25</t>
  </si>
  <si>
    <t>Jul'25</t>
  </si>
  <si>
    <t>Aug'25</t>
  </si>
  <si>
    <t>Sep'25</t>
  </si>
  <si>
    <t>New Followers</t>
  </si>
  <si>
    <t>Total Followers</t>
  </si>
  <si>
    <t>Unique Visitors</t>
  </si>
  <si>
    <t>Custom Button Clicks</t>
  </si>
  <si>
    <t>Reactions</t>
  </si>
  <si>
    <t>Total Followers Gained</t>
  </si>
  <si>
    <t>Unfollows</t>
  </si>
  <si>
    <t>Overall</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</si>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</sst>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Display"/>
      <family val="2"/>
      <scheme val="major"/>
    </font>
    <font>
      <sz val="8"/>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
      <i/>
      <sz val="11"/>
      <color theme="1"/>
      <name val="Aptos Narrow"/>
      <family val="2"/>
      <scheme val="minor"/>
    </font>
    <font>
      <b/>
      <sz val="10"/>
      <name val="Arial"/>
    </font>
    <font>
      <u/>
      <sz val="11"/>
      <color theme="10"/>
      <name val="Aptos Narrow"/>
      <family val="2"/>
      <scheme val="minor"/>
    </font>
    <font>
      <b/>
      <sz val="10"/>
      <name val="Arial"/>
      <family val="2"/>
    </font>
    <font>
      <b/>
      <sz val="14"/>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14" fontId="0" fillId="0" borderId="0" xfId="0" applyNumberFormat="1"/>
    <xf numFmtId="18" fontId="0" fillId="0" borderId="0" xfId="0" applyNumberFormat="1"/>
    <xf numFmtId="10" fontId="0" fillId="0" borderId="0" xfId="0" applyNumberFormat="1"/>
    <xf numFmtId="9" fontId="0" fillId="0" borderId="0" xfId="0" applyNumberFormat="1"/>
    <xf numFmtId="20" fontId="0" fillId="0" borderId="0" xfId="0" applyNumberFormat="1"/>
    <xf numFmtId="0" fontId="1" fillId="0" borderId="0" xfId="0" applyFont="1"/>
    <xf numFmtId="2" fontId="0" fillId="0" borderId="0" xfId="0" applyNumberFormat="1"/>
    <xf numFmtId="0" fontId="0" fillId="0" borderId="0" xfId="0" applyAlignment="1">
      <alignment horizontal="right"/>
    </xf>
    <xf numFmtId="0" fontId="0" fillId="0" borderId="0" xfId="0" applyAlignment="1">
      <alignment wrapText="1"/>
    </xf>
    <xf numFmtId="14" fontId="0" fillId="0" borderId="0" xfId="0" applyNumberFormat="1" applyAlignment="1">
      <alignment horizontal="right"/>
    </xf>
    <xf numFmtId="3" fontId="0" fillId="0" borderId="0" xfId="0" applyNumberFormat="1"/>
    <xf numFmtId="0" fontId="0" fillId="0" borderId="0" xfId="0" applyAlignment="1">
      <alignment horizontal="right" wrapText="1"/>
    </xf>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horizontal="left" vertical="center" indent="1"/>
    </xf>
    <xf numFmtId="0" fontId="0" fillId="0" borderId="0" xfId="0" applyAlignment="1">
      <alignment horizontal="left" vertical="center" indent="2"/>
    </xf>
    <xf numFmtId="0" fontId="7" fillId="0" borderId="0" xfId="0" applyFont="1" applyAlignment="1">
      <alignment horizontal="center"/>
    </xf>
    <xf numFmtId="0" fontId="3" fillId="0" borderId="0" xfId="0" applyFont="1"/>
    <xf numFmtId="0" fontId="3" fillId="0" borderId="0" xfId="0" applyFont="1" applyAlignment="1">
      <alignment horizontal="left" vertical="center" indent="2"/>
    </xf>
    <xf numFmtId="0" fontId="6" fillId="0" borderId="0" xfId="0" applyFont="1" applyAlignment="1">
      <alignment horizontal="left" vertical="center" indent="2"/>
    </xf>
    <xf numFmtId="0" fontId="8" fillId="0" borderId="0" xfId="1"/>
    <xf numFmtId="0" fontId="0" fillId="0" borderId="0" xfId="0" applyAlignment="1">
      <alignment horizontal="left" vertical="top"/>
    </xf>
    <xf numFmtId="0" fontId="9" fillId="0" borderId="0" xfId="0" applyFont="1" applyAlignment="1">
      <alignment horizontal="center"/>
    </xf>
    <xf numFmtId="14" fontId="0" fillId="0" borderId="0" xfId="0" applyNumberFormat="1" applyAlignment="1">
      <alignment horizontal="left" vertical="top"/>
    </xf>
    <xf numFmtId="0" fontId="4" fillId="0" borderId="0" xfId="0" applyFont="1"/>
    <xf numFmtId="0" fontId="10" fillId="0" borderId="0" xfId="0" applyFont="1"/>
    <xf numFmtId="0" fontId="11"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6EB87E"/>
      <color rgb="FFD0B2D1"/>
      <color rgb="FFE9BC8B"/>
      <color rgb="FFD7ABD3"/>
      <color rgb="FF5DC9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linkedin.com/feed/update/urn:li:activity:7358121166189817856" TargetMode="External"/><Relationship Id="rId1" Type="http://schemas.openxmlformats.org/officeDocument/2006/relationships/hyperlink" Target="https://www.linkedin.com/feed/update/urn:li:activity:7364651762512809984"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FA556-C9CE-4B9A-90DB-888D5950A8AA}">
  <dimension ref="A1:W56"/>
  <sheetViews>
    <sheetView workbookViewId="0">
      <selection activeCell="B4" sqref="B4"/>
    </sheetView>
  </sheetViews>
  <sheetFormatPr defaultRowHeight="14.5" x14ac:dyDescent="0.35"/>
  <cols>
    <col min="1" max="1" width="14.54296875" customWidth="1"/>
    <col min="4" max="5" width="13" customWidth="1"/>
    <col min="6" max="6" width="10.7265625" customWidth="1"/>
    <col min="7" max="8" width="10.6328125" customWidth="1"/>
    <col min="9" max="10" width="11.6328125" customWidth="1"/>
    <col min="11" max="11" width="18.7265625" customWidth="1"/>
    <col min="12" max="12" width="25.54296875" customWidth="1"/>
    <col min="13" max="13" width="20.453125" customWidth="1"/>
    <col min="15" max="15" width="24.81640625" customWidth="1"/>
    <col min="19" max="19" width="12.1796875" customWidth="1"/>
    <col min="21" max="21" width="11.81640625" customWidth="1"/>
    <col min="22" max="22" width="14.81640625" customWidth="1"/>
    <col min="23" max="23" width="14.26953125" customWidth="1"/>
    <col min="24" max="24" width="10.6328125" customWidth="1"/>
  </cols>
  <sheetData>
    <row r="1" spans="1:23" x14ac:dyDescent="0.35">
      <c r="A1" s="17" t="s">
        <v>167</v>
      </c>
      <c r="B1" s="17" t="s">
        <v>168</v>
      </c>
      <c r="C1" s="17" t="s">
        <v>169</v>
      </c>
      <c r="D1" s="23" t="s">
        <v>451</v>
      </c>
      <c r="E1" s="23" t="s">
        <v>17</v>
      </c>
      <c r="F1" s="17" t="s">
        <v>170</v>
      </c>
      <c r="G1" s="17" t="s">
        <v>171</v>
      </c>
      <c r="H1" s="17" t="s">
        <v>16</v>
      </c>
      <c r="I1" s="17" t="s">
        <v>349</v>
      </c>
      <c r="J1" s="17" t="s">
        <v>22</v>
      </c>
      <c r="K1" s="17" t="s">
        <v>23</v>
      </c>
      <c r="L1" s="23" t="s">
        <v>353</v>
      </c>
      <c r="M1" s="23" t="s">
        <v>354</v>
      </c>
      <c r="N1" s="17" t="s">
        <v>172</v>
      </c>
      <c r="O1" s="17" t="s">
        <v>173</v>
      </c>
      <c r="P1" s="17" t="s">
        <v>2</v>
      </c>
      <c r="Q1" s="17" t="s">
        <v>3</v>
      </c>
      <c r="R1" s="17" t="s">
        <v>174</v>
      </c>
      <c r="S1" s="17" t="s">
        <v>350</v>
      </c>
      <c r="T1" s="17" t="s">
        <v>12</v>
      </c>
      <c r="U1" s="17" t="s">
        <v>351</v>
      </c>
      <c r="V1" s="17" t="s">
        <v>175</v>
      </c>
      <c r="W1" s="17" t="s">
        <v>176</v>
      </c>
    </row>
    <row r="2" spans="1:23" x14ac:dyDescent="0.35">
      <c r="A2" t="s">
        <v>286</v>
      </c>
      <c r="B2" t="s">
        <v>287</v>
      </c>
      <c r="C2" t="s">
        <v>179</v>
      </c>
      <c r="D2" s="24">
        <v>45658</v>
      </c>
      <c r="E2" t="s">
        <v>20</v>
      </c>
      <c r="F2" t="s">
        <v>181</v>
      </c>
      <c r="G2">
        <v>673</v>
      </c>
      <c r="H2">
        <v>395</v>
      </c>
      <c r="I2" t="s">
        <v>180</v>
      </c>
      <c r="N2">
        <v>32</v>
      </c>
      <c r="O2" s="3">
        <v>4.7548290342092514E-2</v>
      </c>
      <c r="P2">
        <v>9</v>
      </c>
      <c r="Q2">
        <v>2</v>
      </c>
      <c r="R2">
        <v>0</v>
      </c>
      <c r="S2">
        <v>5</v>
      </c>
      <c r="T2">
        <v>0</v>
      </c>
      <c r="U2">
        <v>43</v>
      </c>
      <c r="V2" s="3">
        <v>6.3893012702465057E-2</v>
      </c>
      <c r="W2" t="s">
        <v>34</v>
      </c>
    </row>
    <row r="3" spans="1:23" x14ac:dyDescent="0.35">
      <c r="A3" t="s">
        <v>288</v>
      </c>
      <c r="B3" t="s">
        <v>289</v>
      </c>
      <c r="C3" t="s">
        <v>179</v>
      </c>
      <c r="D3" s="24">
        <v>45658</v>
      </c>
      <c r="E3" t="s">
        <v>20</v>
      </c>
      <c r="F3" t="s">
        <v>181</v>
      </c>
      <c r="G3">
        <v>702</v>
      </c>
      <c r="H3">
        <v>351</v>
      </c>
      <c r="I3" t="s">
        <v>180</v>
      </c>
      <c r="N3">
        <v>23</v>
      </c>
      <c r="O3" s="3">
        <v>3.2763533294200897E-2</v>
      </c>
      <c r="P3">
        <v>15</v>
      </c>
      <c r="Q3">
        <v>0</v>
      </c>
      <c r="R3">
        <v>0</v>
      </c>
      <c r="S3">
        <v>3</v>
      </c>
      <c r="T3">
        <v>0</v>
      </c>
      <c r="U3">
        <v>38</v>
      </c>
      <c r="V3" s="3">
        <v>5.4131053388118744E-2</v>
      </c>
      <c r="W3" t="s">
        <v>34</v>
      </c>
    </row>
    <row r="4" spans="1:23" x14ac:dyDescent="0.35">
      <c r="A4" t="s">
        <v>284</v>
      </c>
      <c r="B4" t="s">
        <v>285</v>
      </c>
      <c r="C4" t="s">
        <v>179</v>
      </c>
      <c r="D4" s="24">
        <v>45689</v>
      </c>
      <c r="E4" t="s">
        <v>51</v>
      </c>
      <c r="F4" t="s">
        <v>181</v>
      </c>
      <c r="G4">
        <v>988</v>
      </c>
      <c r="H4">
        <v>473</v>
      </c>
      <c r="I4" t="s">
        <v>180</v>
      </c>
      <c r="N4">
        <v>19</v>
      </c>
      <c r="O4" s="3">
        <v>1.9230769947171211E-2</v>
      </c>
      <c r="P4">
        <v>20</v>
      </c>
      <c r="Q4">
        <v>0</v>
      </c>
      <c r="R4">
        <v>0</v>
      </c>
      <c r="S4">
        <v>5</v>
      </c>
      <c r="T4">
        <v>0</v>
      </c>
      <c r="U4">
        <v>39</v>
      </c>
      <c r="V4" s="3">
        <v>3.9473682641983032E-2</v>
      </c>
      <c r="W4" t="s">
        <v>34</v>
      </c>
    </row>
    <row r="5" spans="1:23" x14ac:dyDescent="0.35">
      <c r="A5" t="s">
        <v>282</v>
      </c>
      <c r="B5" t="s">
        <v>283</v>
      </c>
      <c r="C5" t="s">
        <v>179</v>
      </c>
      <c r="D5" s="24">
        <v>45809</v>
      </c>
      <c r="E5" t="s">
        <v>58</v>
      </c>
      <c r="F5" t="s">
        <v>181</v>
      </c>
      <c r="G5">
        <v>2423</v>
      </c>
      <c r="H5">
        <v>1200</v>
      </c>
      <c r="I5" t="s">
        <v>180</v>
      </c>
      <c r="N5">
        <v>878</v>
      </c>
      <c r="O5" s="3">
        <v>0.36236071586608887</v>
      </c>
      <c r="P5">
        <v>51</v>
      </c>
      <c r="Q5">
        <v>8</v>
      </c>
      <c r="R5">
        <v>3</v>
      </c>
      <c r="S5">
        <v>18</v>
      </c>
      <c r="T5">
        <v>1</v>
      </c>
      <c r="U5">
        <v>940</v>
      </c>
      <c r="V5" s="3">
        <v>0.38794881105422974</v>
      </c>
      <c r="W5" t="s">
        <v>36</v>
      </c>
    </row>
    <row r="6" spans="1:23" x14ac:dyDescent="0.35">
      <c r="A6" t="s">
        <v>280</v>
      </c>
      <c r="B6" t="s">
        <v>281</v>
      </c>
      <c r="C6" t="s">
        <v>179</v>
      </c>
      <c r="D6" s="24">
        <v>45870</v>
      </c>
      <c r="E6" t="s">
        <v>20</v>
      </c>
      <c r="F6" t="s">
        <v>181</v>
      </c>
      <c r="G6">
        <v>2634</v>
      </c>
      <c r="H6">
        <v>1398</v>
      </c>
      <c r="I6" t="s">
        <v>180</v>
      </c>
      <c r="N6">
        <v>166</v>
      </c>
      <c r="O6" s="3">
        <v>6.3022017478942871E-2</v>
      </c>
      <c r="P6">
        <v>62</v>
      </c>
      <c r="Q6">
        <v>13</v>
      </c>
      <c r="R6">
        <v>0</v>
      </c>
      <c r="S6">
        <v>33</v>
      </c>
      <c r="T6">
        <v>13</v>
      </c>
      <c r="U6">
        <v>241</v>
      </c>
      <c r="V6" s="3">
        <v>9.1495826840400696E-2</v>
      </c>
      <c r="W6" t="s">
        <v>34</v>
      </c>
    </row>
    <row r="7" spans="1:23" x14ac:dyDescent="0.35">
      <c r="A7" t="s">
        <v>278</v>
      </c>
      <c r="B7" t="s">
        <v>279</v>
      </c>
      <c r="C7" t="s">
        <v>179</v>
      </c>
      <c r="D7" s="24">
        <v>45962</v>
      </c>
      <c r="E7" t="s">
        <v>55</v>
      </c>
      <c r="F7" t="s">
        <v>181</v>
      </c>
      <c r="G7">
        <v>866</v>
      </c>
      <c r="H7">
        <v>515</v>
      </c>
      <c r="I7" t="s">
        <v>180</v>
      </c>
      <c r="N7">
        <v>43</v>
      </c>
      <c r="O7" s="3">
        <v>4.9653578549623489E-2</v>
      </c>
      <c r="P7">
        <v>16</v>
      </c>
      <c r="Q7">
        <v>2</v>
      </c>
      <c r="R7">
        <v>0</v>
      </c>
      <c r="S7">
        <v>4</v>
      </c>
      <c r="T7">
        <v>3</v>
      </c>
      <c r="U7">
        <v>61</v>
      </c>
      <c r="V7" s="3">
        <v>7.0438802242279053E-2</v>
      </c>
      <c r="W7" t="s">
        <v>34</v>
      </c>
    </row>
    <row r="8" spans="1:23" x14ac:dyDescent="0.35">
      <c r="A8" t="s">
        <v>276</v>
      </c>
      <c r="B8" t="s">
        <v>277</v>
      </c>
      <c r="C8" t="s">
        <v>179</v>
      </c>
      <c r="D8" s="22" t="s">
        <v>594</v>
      </c>
      <c r="E8" t="s">
        <v>51</v>
      </c>
      <c r="F8" t="s">
        <v>181</v>
      </c>
      <c r="G8">
        <v>1039</v>
      </c>
      <c r="H8">
        <v>495</v>
      </c>
      <c r="I8" t="s">
        <v>180</v>
      </c>
      <c r="N8">
        <v>967</v>
      </c>
      <c r="O8" s="3">
        <v>0.93070262670516968</v>
      </c>
      <c r="P8">
        <v>12</v>
      </c>
      <c r="Q8">
        <v>4</v>
      </c>
      <c r="R8">
        <v>0</v>
      </c>
      <c r="S8">
        <v>5</v>
      </c>
      <c r="T8">
        <v>3</v>
      </c>
      <c r="U8">
        <v>983</v>
      </c>
      <c r="V8" s="3">
        <v>0.94610202312469482</v>
      </c>
      <c r="W8" t="s">
        <v>34</v>
      </c>
    </row>
    <row r="9" spans="1:23" ht="116" x14ac:dyDescent="0.35">
      <c r="A9" t="s">
        <v>274</v>
      </c>
      <c r="B9" t="s">
        <v>275</v>
      </c>
      <c r="C9" t="s">
        <v>179</v>
      </c>
      <c r="D9" s="22" t="s">
        <v>595</v>
      </c>
      <c r="E9" t="s">
        <v>18</v>
      </c>
      <c r="F9" t="s">
        <v>181</v>
      </c>
      <c r="G9">
        <v>5034</v>
      </c>
      <c r="H9">
        <v>2838</v>
      </c>
      <c r="I9">
        <v>2629</v>
      </c>
      <c r="J9" t="s">
        <v>399</v>
      </c>
      <c r="K9" t="s">
        <v>400</v>
      </c>
      <c r="L9" s="9" t="s">
        <v>401</v>
      </c>
      <c r="M9" s="9" t="s">
        <v>402</v>
      </c>
      <c r="N9">
        <v>440</v>
      </c>
      <c r="O9" s="3">
        <v>8.7405644357204437E-2</v>
      </c>
      <c r="P9">
        <v>120</v>
      </c>
      <c r="Q9">
        <v>41</v>
      </c>
      <c r="R9">
        <v>0</v>
      </c>
      <c r="S9">
        <v>128</v>
      </c>
      <c r="T9">
        <v>27</v>
      </c>
      <c r="U9">
        <v>601</v>
      </c>
      <c r="V9" s="3">
        <v>0.1193881630897522</v>
      </c>
      <c r="W9" t="s">
        <v>35</v>
      </c>
    </row>
    <row r="10" spans="1:23" ht="87" x14ac:dyDescent="0.35">
      <c r="A10" t="s">
        <v>272</v>
      </c>
      <c r="B10" t="s">
        <v>273</v>
      </c>
      <c r="C10" t="s">
        <v>179</v>
      </c>
      <c r="D10" s="22" t="s">
        <v>596</v>
      </c>
      <c r="E10" t="s">
        <v>58</v>
      </c>
      <c r="F10" t="s">
        <v>181</v>
      </c>
      <c r="G10">
        <v>2086</v>
      </c>
      <c r="H10">
        <v>1267</v>
      </c>
      <c r="I10">
        <v>1217</v>
      </c>
      <c r="J10" t="s">
        <v>396</v>
      </c>
      <c r="K10" t="s">
        <v>141</v>
      </c>
      <c r="L10" s="9" t="s">
        <v>397</v>
      </c>
      <c r="M10" s="9" t="s">
        <v>398</v>
      </c>
      <c r="N10">
        <v>150</v>
      </c>
      <c r="O10" s="3">
        <v>7.1907959878444672E-2</v>
      </c>
      <c r="P10">
        <v>35</v>
      </c>
      <c r="Q10">
        <v>8</v>
      </c>
      <c r="R10">
        <v>1</v>
      </c>
      <c r="S10">
        <v>23</v>
      </c>
      <c r="T10">
        <v>1</v>
      </c>
      <c r="U10">
        <v>194</v>
      </c>
      <c r="V10" s="3">
        <v>9.3000955879688263E-2</v>
      </c>
      <c r="W10" t="s">
        <v>35</v>
      </c>
    </row>
    <row r="11" spans="1:23" x14ac:dyDescent="0.35">
      <c r="A11" t="s">
        <v>270</v>
      </c>
      <c r="B11" t="s">
        <v>271</v>
      </c>
      <c r="C11" t="s">
        <v>179</v>
      </c>
      <c r="D11" s="22" t="s">
        <v>597</v>
      </c>
      <c r="E11" t="s">
        <v>66</v>
      </c>
      <c r="F11" t="s">
        <v>181</v>
      </c>
      <c r="G11">
        <v>4966</v>
      </c>
      <c r="H11">
        <v>2639</v>
      </c>
      <c r="I11" t="s">
        <v>180</v>
      </c>
      <c r="N11">
        <v>155</v>
      </c>
      <c r="O11" s="3">
        <v>3.1212244182825089E-2</v>
      </c>
      <c r="P11">
        <v>26</v>
      </c>
      <c r="Q11">
        <v>5</v>
      </c>
      <c r="R11">
        <v>1</v>
      </c>
      <c r="S11">
        <v>69</v>
      </c>
      <c r="T11">
        <v>19</v>
      </c>
      <c r="U11">
        <v>187</v>
      </c>
      <c r="V11" s="3">
        <v>3.7656061351299286E-2</v>
      </c>
      <c r="W11" t="s">
        <v>34</v>
      </c>
    </row>
    <row r="12" spans="1:23" x14ac:dyDescent="0.35">
      <c r="A12" t="s">
        <v>268</v>
      </c>
      <c r="B12" t="s">
        <v>269</v>
      </c>
      <c r="C12" t="s">
        <v>179</v>
      </c>
      <c r="D12" s="22" t="s">
        <v>598</v>
      </c>
      <c r="E12" t="s">
        <v>18</v>
      </c>
      <c r="F12" t="s">
        <v>181</v>
      </c>
      <c r="G12">
        <v>1315</v>
      </c>
      <c r="H12">
        <v>666</v>
      </c>
      <c r="I12" t="s">
        <v>180</v>
      </c>
      <c r="N12">
        <v>38</v>
      </c>
      <c r="O12" s="3">
        <v>2.889733761548996E-2</v>
      </c>
      <c r="P12">
        <v>13</v>
      </c>
      <c r="Q12">
        <v>0</v>
      </c>
      <c r="R12">
        <v>0</v>
      </c>
      <c r="S12">
        <v>5</v>
      </c>
      <c r="T12">
        <v>2</v>
      </c>
      <c r="U12">
        <v>51</v>
      </c>
      <c r="V12" s="3">
        <v>3.8783270865678787E-2</v>
      </c>
      <c r="W12" t="s">
        <v>34</v>
      </c>
    </row>
    <row r="13" spans="1:23" ht="101.5" x14ac:dyDescent="0.35">
      <c r="A13" t="s">
        <v>264</v>
      </c>
      <c r="B13" t="s">
        <v>265</v>
      </c>
      <c r="C13" t="s">
        <v>179</v>
      </c>
      <c r="D13" s="24">
        <v>45840</v>
      </c>
      <c r="E13" t="s">
        <v>18</v>
      </c>
      <c r="F13" t="s">
        <v>181</v>
      </c>
      <c r="G13">
        <v>2864</v>
      </c>
      <c r="H13">
        <v>1466</v>
      </c>
      <c r="I13">
        <v>1326</v>
      </c>
      <c r="J13" t="s">
        <v>392</v>
      </c>
      <c r="K13" t="s">
        <v>393</v>
      </c>
      <c r="L13" s="9" t="s">
        <v>394</v>
      </c>
      <c r="M13" s="9" t="s">
        <v>395</v>
      </c>
      <c r="N13">
        <v>259</v>
      </c>
      <c r="O13" s="3">
        <v>9.0432964265346527E-2</v>
      </c>
      <c r="P13">
        <v>39</v>
      </c>
      <c r="Q13">
        <v>6</v>
      </c>
      <c r="R13">
        <v>3</v>
      </c>
      <c r="S13">
        <v>28</v>
      </c>
      <c r="T13">
        <v>4</v>
      </c>
      <c r="U13">
        <v>307</v>
      </c>
      <c r="V13" s="3">
        <v>0.1071927398443222</v>
      </c>
      <c r="W13" t="s">
        <v>35</v>
      </c>
    </row>
    <row r="14" spans="1:23" x14ac:dyDescent="0.35">
      <c r="A14" t="s">
        <v>266</v>
      </c>
      <c r="B14" t="s">
        <v>267</v>
      </c>
      <c r="C14" t="s">
        <v>179</v>
      </c>
      <c r="D14" s="24">
        <v>45840</v>
      </c>
      <c r="E14" t="s">
        <v>18</v>
      </c>
      <c r="F14" t="s">
        <v>181</v>
      </c>
      <c r="G14">
        <v>882</v>
      </c>
      <c r="H14">
        <v>479</v>
      </c>
      <c r="I14" t="s">
        <v>180</v>
      </c>
      <c r="N14">
        <v>32</v>
      </c>
      <c r="O14" s="3">
        <v>3.6281179636716843E-2</v>
      </c>
      <c r="P14">
        <v>7</v>
      </c>
      <c r="Q14">
        <v>0</v>
      </c>
      <c r="R14">
        <v>0</v>
      </c>
      <c r="S14">
        <v>4</v>
      </c>
      <c r="T14">
        <v>0</v>
      </c>
      <c r="U14">
        <v>39</v>
      </c>
      <c r="V14" s="3">
        <v>4.4217687100172043E-2</v>
      </c>
      <c r="W14" t="s">
        <v>34</v>
      </c>
    </row>
    <row r="15" spans="1:23" x14ac:dyDescent="0.35">
      <c r="A15" t="s">
        <v>260</v>
      </c>
      <c r="B15" t="s">
        <v>261</v>
      </c>
      <c r="C15" t="s">
        <v>179</v>
      </c>
      <c r="D15" s="22" t="s">
        <v>62</v>
      </c>
      <c r="E15" t="s">
        <v>58</v>
      </c>
      <c r="F15" t="s">
        <v>181</v>
      </c>
      <c r="G15">
        <v>1490</v>
      </c>
      <c r="H15">
        <v>780</v>
      </c>
      <c r="I15" t="s">
        <v>180</v>
      </c>
      <c r="N15">
        <v>527</v>
      </c>
      <c r="O15" s="3">
        <v>0.35369127988815308</v>
      </c>
      <c r="P15">
        <v>42</v>
      </c>
      <c r="Q15">
        <v>6</v>
      </c>
      <c r="R15">
        <v>1</v>
      </c>
      <c r="S15">
        <v>9</v>
      </c>
      <c r="T15">
        <v>0</v>
      </c>
      <c r="U15">
        <v>576</v>
      </c>
      <c r="V15" s="3">
        <v>0.38657718896865845</v>
      </c>
      <c r="W15" t="s">
        <v>36</v>
      </c>
    </row>
    <row r="16" spans="1:23" x14ac:dyDescent="0.35">
      <c r="A16" t="s">
        <v>262</v>
      </c>
      <c r="B16" t="s">
        <v>263</v>
      </c>
      <c r="C16" t="s">
        <v>179</v>
      </c>
      <c r="D16" s="22" t="s">
        <v>62</v>
      </c>
      <c r="E16" t="s">
        <v>58</v>
      </c>
      <c r="F16" t="s">
        <v>181</v>
      </c>
      <c r="G16">
        <v>3132</v>
      </c>
      <c r="H16">
        <v>1675</v>
      </c>
      <c r="I16" t="s">
        <v>180</v>
      </c>
      <c r="N16">
        <v>1467</v>
      </c>
      <c r="O16" s="3">
        <v>0.46839079260826111</v>
      </c>
      <c r="P16">
        <v>63</v>
      </c>
      <c r="Q16">
        <v>4</v>
      </c>
      <c r="R16">
        <v>3</v>
      </c>
      <c r="S16">
        <v>28</v>
      </c>
      <c r="T16">
        <v>6</v>
      </c>
      <c r="U16">
        <v>1537</v>
      </c>
      <c r="V16" s="3">
        <v>0.49074074625968933</v>
      </c>
      <c r="W16" t="s">
        <v>36</v>
      </c>
    </row>
    <row r="17" spans="1:23" x14ac:dyDescent="0.35">
      <c r="A17" t="s">
        <v>258</v>
      </c>
      <c r="B17" t="s">
        <v>259</v>
      </c>
      <c r="C17" t="s">
        <v>179</v>
      </c>
      <c r="D17" s="22" t="s">
        <v>63</v>
      </c>
      <c r="E17" t="s">
        <v>51</v>
      </c>
      <c r="F17" t="s">
        <v>181</v>
      </c>
      <c r="G17">
        <v>780</v>
      </c>
      <c r="H17">
        <v>513</v>
      </c>
      <c r="I17" t="s">
        <v>180</v>
      </c>
      <c r="N17">
        <v>19</v>
      </c>
      <c r="O17" s="3">
        <v>2.4358974769711494E-2</v>
      </c>
      <c r="P17">
        <v>7</v>
      </c>
      <c r="Q17">
        <v>0</v>
      </c>
      <c r="R17">
        <v>0</v>
      </c>
      <c r="S17">
        <v>7</v>
      </c>
      <c r="T17">
        <v>0</v>
      </c>
      <c r="U17">
        <v>26</v>
      </c>
      <c r="V17" s="3">
        <v>3.3333335071802139E-2</v>
      </c>
      <c r="W17" t="s">
        <v>34</v>
      </c>
    </row>
    <row r="18" spans="1:23" x14ac:dyDescent="0.35">
      <c r="A18" t="s">
        <v>256</v>
      </c>
      <c r="B18" t="s">
        <v>257</v>
      </c>
      <c r="C18" t="s">
        <v>179</v>
      </c>
      <c r="D18" s="24">
        <v>45660</v>
      </c>
      <c r="E18" t="s">
        <v>55</v>
      </c>
      <c r="F18" t="s">
        <v>181</v>
      </c>
      <c r="G18">
        <v>994</v>
      </c>
      <c r="H18">
        <v>540</v>
      </c>
      <c r="I18" t="s">
        <v>180</v>
      </c>
      <c r="N18">
        <v>91</v>
      </c>
      <c r="O18" s="3">
        <v>9.1549292206764221E-2</v>
      </c>
      <c r="P18">
        <v>38</v>
      </c>
      <c r="Q18">
        <v>0</v>
      </c>
      <c r="R18">
        <v>0</v>
      </c>
      <c r="S18">
        <v>8</v>
      </c>
      <c r="T18">
        <v>0</v>
      </c>
      <c r="U18">
        <v>129</v>
      </c>
      <c r="V18" s="3">
        <v>0.1297786682844162</v>
      </c>
      <c r="W18" t="s">
        <v>34</v>
      </c>
    </row>
    <row r="19" spans="1:23" ht="101.5" x14ac:dyDescent="0.35">
      <c r="A19" t="s">
        <v>254</v>
      </c>
      <c r="B19" t="s">
        <v>255</v>
      </c>
      <c r="C19" t="s">
        <v>179</v>
      </c>
      <c r="D19" s="24">
        <v>45750</v>
      </c>
      <c r="E19" t="s">
        <v>66</v>
      </c>
      <c r="F19" t="s">
        <v>181</v>
      </c>
      <c r="G19">
        <v>2195</v>
      </c>
      <c r="H19">
        <v>1373</v>
      </c>
      <c r="I19">
        <v>1154</v>
      </c>
      <c r="J19" t="s">
        <v>389</v>
      </c>
      <c r="K19" t="s">
        <v>141</v>
      </c>
      <c r="L19" s="9" t="s">
        <v>390</v>
      </c>
      <c r="M19" s="9" t="s">
        <v>391</v>
      </c>
      <c r="N19">
        <v>177</v>
      </c>
      <c r="O19" s="3">
        <v>8.0637812614440918E-2</v>
      </c>
      <c r="P19">
        <v>47</v>
      </c>
      <c r="Q19">
        <v>8</v>
      </c>
      <c r="R19">
        <v>2</v>
      </c>
      <c r="S19">
        <v>32</v>
      </c>
      <c r="T19">
        <v>2</v>
      </c>
      <c r="U19">
        <v>234</v>
      </c>
      <c r="V19" s="3">
        <v>0.10660592466592789</v>
      </c>
      <c r="W19" t="s">
        <v>35</v>
      </c>
    </row>
    <row r="20" spans="1:23" x14ac:dyDescent="0.35">
      <c r="A20" t="s">
        <v>252</v>
      </c>
      <c r="B20" t="s">
        <v>253</v>
      </c>
      <c r="C20" t="s">
        <v>179</v>
      </c>
      <c r="D20" s="24">
        <v>45780</v>
      </c>
      <c r="E20" t="s">
        <v>20</v>
      </c>
      <c r="F20" t="s">
        <v>181</v>
      </c>
      <c r="G20">
        <v>1856</v>
      </c>
      <c r="H20">
        <v>941</v>
      </c>
      <c r="I20" t="s">
        <v>180</v>
      </c>
      <c r="N20">
        <v>610</v>
      </c>
      <c r="O20" s="3">
        <v>0.32866379618644714</v>
      </c>
      <c r="P20">
        <v>41</v>
      </c>
      <c r="Q20">
        <v>0</v>
      </c>
      <c r="R20">
        <v>2</v>
      </c>
      <c r="S20">
        <v>14</v>
      </c>
      <c r="T20">
        <v>1</v>
      </c>
      <c r="U20">
        <v>653</v>
      </c>
      <c r="V20" s="3">
        <v>0.35183188319206238</v>
      </c>
      <c r="W20" t="s">
        <v>36</v>
      </c>
    </row>
    <row r="21" spans="1:23" x14ac:dyDescent="0.35">
      <c r="A21" t="s">
        <v>250</v>
      </c>
      <c r="B21" t="s">
        <v>251</v>
      </c>
      <c r="C21" t="s">
        <v>179</v>
      </c>
      <c r="D21" s="24">
        <v>45872</v>
      </c>
      <c r="E21" t="s">
        <v>55</v>
      </c>
      <c r="F21" t="s">
        <v>181</v>
      </c>
      <c r="G21">
        <v>3492</v>
      </c>
      <c r="H21">
        <v>1788</v>
      </c>
      <c r="I21" t="s">
        <v>180</v>
      </c>
      <c r="N21">
        <v>1288</v>
      </c>
      <c r="O21" s="3">
        <v>0.36884307861328125</v>
      </c>
      <c r="P21">
        <v>59</v>
      </c>
      <c r="Q21">
        <v>2</v>
      </c>
      <c r="R21">
        <v>4</v>
      </c>
      <c r="S21">
        <v>32</v>
      </c>
      <c r="T21">
        <v>21</v>
      </c>
      <c r="U21">
        <v>1353</v>
      </c>
      <c r="V21" s="3">
        <v>0.38745704293251038</v>
      </c>
      <c r="W21" t="s">
        <v>36</v>
      </c>
    </row>
    <row r="22" spans="1:23" ht="87" x14ac:dyDescent="0.35">
      <c r="A22" t="s">
        <v>246</v>
      </c>
      <c r="B22" t="s">
        <v>247</v>
      </c>
      <c r="C22" t="s">
        <v>179</v>
      </c>
      <c r="D22" s="24">
        <v>45964</v>
      </c>
      <c r="E22" t="s">
        <v>66</v>
      </c>
      <c r="F22" t="s">
        <v>181</v>
      </c>
      <c r="G22">
        <v>1234</v>
      </c>
      <c r="H22">
        <v>714</v>
      </c>
      <c r="I22">
        <v>663</v>
      </c>
      <c r="J22" t="s">
        <v>386</v>
      </c>
      <c r="K22" t="s">
        <v>358</v>
      </c>
      <c r="L22" s="9" t="s">
        <v>387</v>
      </c>
      <c r="M22" s="9" t="s">
        <v>388</v>
      </c>
      <c r="N22">
        <v>63</v>
      </c>
      <c r="O22" s="3">
        <v>5.1053483039140701E-2</v>
      </c>
      <c r="P22">
        <v>22</v>
      </c>
      <c r="Q22">
        <v>0</v>
      </c>
      <c r="R22">
        <v>0</v>
      </c>
      <c r="S22">
        <v>8</v>
      </c>
      <c r="T22">
        <v>1</v>
      </c>
      <c r="U22">
        <v>85</v>
      </c>
      <c r="V22" s="3">
        <v>6.8881683051586151E-2</v>
      </c>
      <c r="W22" t="s">
        <v>35</v>
      </c>
    </row>
    <row r="23" spans="1:23" x14ac:dyDescent="0.35">
      <c r="A23" t="s">
        <v>248</v>
      </c>
      <c r="B23" t="s">
        <v>249</v>
      </c>
      <c r="C23" t="s">
        <v>179</v>
      </c>
      <c r="D23" s="24">
        <v>45964</v>
      </c>
      <c r="E23" t="s">
        <v>66</v>
      </c>
      <c r="F23" t="s">
        <v>181</v>
      </c>
      <c r="G23">
        <v>2467</v>
      </c>
      <c r="H23" s="11">
        <v>1217</v>
      </c>
      <c r="I23" t="s">
        <v>180</v>
      </c>
      <c r="N23">
        <v>862</v>
      </c>
      <c r="O23" s="3">
        <v>0.3494122326374054</v>
      </c>
      <c r="P23">
        <v>45</v>
      </c>
      <c r="Q23">
        <v>2</v>
      </c>
      <c r="R23">
        <v>1</v>
      </c>
      <c r="S23">
        <v>14</v>
      </c>
      <c r="T23">
        <v>0</v>
      </c>
      <c r="U23">
        <v>910</v>
      </c>
      <c r="V23" s="3">
        <v>0.36886906623840332</v>
      </c>
      <c r="W23" t="s">
        <v>36</v>
      </c>
    </row>
    <row r="24" spans="1:23" ht="87" x14ac:dyDescent="0.35">
      <c r="A24" t="s">
        <v>244</v>
      </c>
      <c r="B24" t="s">
        <v>245</v>
      </c>
      <c r="C24" t="s">
        <v>179</v>
      </c>
      <c r="D24" s="22" t="s">
        <v>72</v>
      </c>
      <c r="E24" t="s">
        <v>51</v>
      </c>
      <c r="F24" t="s">
        <v>181</v>
      </c>
      <c r="G24">
        <v>1581</v>
      </c>
      <c r="H24">
        <v>963</v>
      </c>
      <c r="I24">
        <v>724</v>
      </c>
      <c r="J24" t="s">
        <v>383</v>
      </c>
      <c r="K24" t="s">
        <v>53</v>
      </c>
      <c r="L24" s="9" t="s">
        <v>384</v>
      </c>
      <c r="M24" s="9" t="s">
        <v>385</v>
      </c>
      <c r="N24">
        <v>62</v>
      </c>
      <c r="O24" s="3">
        <v>3.9215687662363052E-2</v>
      </c>
      <c r="P24">
        <v>29</v>
      </c>
      <c r="Q24">
        <v>2</v>
      </c>
      <c r="R24">
        <v>0</v>
      </c>
      <c r="S24">
        <v>9</v>
      </c>
      <c r="T24">
        <v>0</v>
      </c>
      <c r="U24">
        <v>93</v>
      </c>
      <c r="V24" s="3">
        <v>5.8823529630899429E-2</v>
      </c>
      <c r="W24" t="s">
        <v>35</v>
      </c>
    </row>
    <row r="25" spans="1:23" ht="87" x14ac:dyDescent="0.35">
      <c r="A25" t="s">
        <v>242</v>
      </c>
      <c r="B25" t="s">
        <v>243</v>
      </c>
      <c r="C25" t="s">
        <v>179</v>
      </c>
      <c r="D25" s="22" t="s">
        <v>599</v>
      </c>
      <c r="E25" t="s">
        <v>58</v>
      </c>
      <c r="F25" t="s">
        <v>181</v>
      </c>
      <c r="G25">
        <v>3285</v>
      </c>
      <c r="H25">
        <v>1973</v>
      </c>
      <c r="I25">
        <v>2096</v>
      </c>
      <c r="J25" t="s">
        <v>380</v>
      </c>
      <c r="K25" t="s">
        <v>48</v>
      </c>
      <c r="L25" s="9" t="s">
        <v>381</v>
      </c>
      <c r="M25" s="9" t="s">
        <v>382</v>
      </c>
      <c r="N25">
        <v>294</v>
      </c>
      <c r="O25" s="3">
        <v>8.949771523475647E-2</v>
      </c>
      <c r="P25">
        <v>61</v>
      </c>
      <c r="Q25">
        <v>4</v>
      </c>
      <c r="R25">
        <v>0</v>
      </c>
      <c r="S25">
        <v>47</v>
      </c>
      <c r="T25">
        <v>5</v>
      </c>
      <c r="U25">
        <v>359</v>
      </c>
      <c r="V25" s="3">
        <v>0.10928462445735931</v>
      </c>
      <c r="W25" t="s">
        <v>35</v>
      </c>
    </row>
    <row r="26" spans="1:23" x14ac:dyDescent="0.35">
      <c r="A26" t="s">
        <v>240</v>
      </c>
      <c r="B26" t="s">
        <v>241</v>
      </c>
      <c r="C26" t="s">
        <v>179</v>
      </c>
      <c r="D26" s="24">
        <v>45661</v>
      </c>
      <c r="E26" t="s">
        <v>66</v>
      </c>
      <c r="F26" t="s">
        <v>181</v>
      </c>
      <c r="G26">
        <v>1764</v>
      </c>
      <c r="H26">
        <v>1101</v>
      </c>
      <c r="I26" t="s">
        <v>180</v>
      </c>
      <c r="N26">
        <v>76</v>
      </c>
      <c r="O26" s="3">
        <v>4.3083898723125458E-2</v>
      </c>
      <c r="P26">
        <v>14</v>
      </c>
      <c r="Q26">
        <v>0</v>
      </c>
      <c r="R26">
        <v>2</v>
      </c>
      <c r="S26">
        <v>32</v>
      </c>
      <c r="T26">
        <v>0</v>
      </c>
      <c r="U26">
        <v>92</v>
      </c>
      <c r="V26" s="3">
        <v>5.2154194563627243E-2</v>
      </c>
      <c r="W26" t="s">
        <v>34</v>
      </c>
    </row>
    <row r="27" spans="1:23" x14ac:dyDescent="0.35">
      <c r="A27" t="s">
        <v>238</v>
      </c>
      <c r="B27" t="s">
        <v>239</v>
      </c>
      <c r="C27" t="s">
        <v>179</v>
      </c>
      <c r="D27" s="24">
        <v>45751</v>
      </c>
      <c r="E27" t="s">
        <v>18</v>
      </c>
      <c r="F27" t="s">
        <v>181</v>
      </c>
      <c r="G27">
        <v>2264</v>
      </c>
      <c r="H27">
        <v>1287</v>
      </c>
      <c r="I27" t="s">
        <v>180</v>
      </c>
      <c r="N27">
        <v>362</v>
      </c>
      <c r="O27" s="3">
        <v>0.15989398956298828</v>
      </c>
      <c r="P27">
        <v>55</v>
      </c>
      <c r="Q27">
        <v>0</v>
      </c>
      <c r="R27">
        <v>4</v>
      </c>
      <c r="S27">
        <v>13</v>
      </c>
      <c r="T27">
        <v>7</v>
      </c>
      <c r="U27">
        <v>421</v>
      </c>
      <c r="V27" s="3">
        <v>0.18595406413078308</v>
      </c>
      <c r="W27" t="s">
        <v>36</v>
      </c>
    </row>
    <row r="28" spans="1:23" ht="116" x14ac:dyDescent="0.35">
      <c r="A28" t="s">
        <v>236</v>
      </c>
      <c r="B28" t="s">
        <v>237</v>
      </c>
      <c r="C28" t="s">
        <v>179</v>
      </c>
      <c r="D28" s="24">
        <v>45873</v>
      </c>
      <c r="E28" t="s">
        <v>66</v>
      </c>
      <c r="F28" t="s">
        <v>181</v>
      </c>
      <c r="G28">
        <v>4396</v>
      </c>
      <c r="H28">
        <v>2533</v>
      </c>
      <c r="I28">
        <v>3048</v>
      </c>
      <c r="J28" t="s">
        <v>376</v>
      </c>
      <c r="K28" t="s">
        <v>377</v>
      </c>
      <c r="L28" s="9" t="s">
        <v>378</v>
      </c>
      <c r="M28" s="9" t="s">
        <v>379</v>
      </c>
      <c r="N28">
        <v>506</v>
      </c>
      <c r="O28" s="3">
        <v>0.11510463804006577</v>
      </c>
      <c r="P28">
        <v>48</v>
      </c>
      <c r="Q28">
        <v>1</v>
      </c>
      <c r="R28">
        <v>1</v>
      </c>
      <c r="S28">
        <v>106</v>
      </c>
      <c r="T28">
        <v>7</v>
      </c>
      <c r="U28">
        <v>556</v>
      </c>
      <c r="V28" s="3">
        <v>0.12647861242294312</v>
      </c>
      <c r="W28" t="s">
        <v>35</v>
      </c>
    </row>
    <row r="29" spans="1:23" x14ac:dyDescent="0.35">
      <c r="A29" t="s">
        <v>234</v>
      </c>
      <c r="B29" t="s">
        <v>235</v>
      </c>
      <c r="C29" t="s">
        <v>179</v>
      </c>
      <c r="D29" s="22" t="s">
        <v>600</v>
      </c>
      <c r="E29" t="s">
        <v>58</v>
      </c>
      <c r="F29" t="s">
        <v>181</v>
      </c>
      <c r="G29">
        <v>1627</v>
      </c>
      <c r="H29">
        <v>902</v>
      </c>
      <c r="I29" t="s">
        <v>180</v>
      </c>
      <c r="N29">
        <v>47</v>
      </c>
      <c r="O29" s="3">
        <v>2.8905289247632027E-2</v>
      </c>
      <c r="P29">
        <v>19</v>
      </c>
      <c r="Q29">
        <v>4</v>
      </c>
      <c r="R29">
        <v>0</v>
      </c>
      <c r="S29">
        <v>10</v>
      </c>
      <c r="T29">
        <v>2</v>
      </c>
      <c r="U29">
        <v>70</v>
      </c>
      <c r="V29" s="3">
        <v>4.3050430715084076E-2</v>
      </c>
      <c r="W29" t="s">
        <v>34</v>
      </c>
    </row>
    <row r="30" spans="1:23" x14ac:dyDescent="0.35">
      <c r="A30" t="s">
        <v>232</v>
      </c>
      <c r="B30" t="s">
        <v>233</v>
      </c>
      <c r="C30" t="s">
        <v>179</v>
      </c>
      <c r="D30" s="22" t="s">
        <v>99</v>
      </c>
      <c r="E30" t="s">
        <v>21</v>
      </c>
      <c r="F30" t="s">
        <v>181</v>
      </c>
      <c r="G30">
        <v>1598</v>
      </c>
      <c r="H30">
        <v>764</v>
      </c>
      <c r="I30" t="s">
        <v>180</v>
      </c>
      <c r="N30">
        <v>14</v>
      </c>
      <c r="O30" s="3">
        <v>8.7609514594078064E-3</v>
      </c>
      <c r="P30">
        <v>12</v>
      </c>
      <c r="Q30">
        <v>0</v>
      </c>
      <c r="R30">
        <v>0</v>
      </c>
      <c r="S30">
        <v>6</v>
      </c>
      <c r="T30">
        <v>0</v>
      </c>
      <c r="U30">
        <v>26</v>
      </c>
      <c r="V30" s="3">
        <v>1.6270337626338005E-2</v>
      </c>
      <c r="W30" t="s">
        <v>34</v>
      </c>
    </row>
    <row r="31" spans="1:23" x14ac:dyDescent="0.35">
      <c r="A31" t="s">
        <v>230</v>
      </c>
      <c r="B31" t="s">
        <v>231</v>
      </c>
      <c r="C31" t="s">
        <v>179</v>
      </c>
      <c r="D31" s="22" t="s">
        <v>601</v>
      </c>
      <c r="E31" t="s">
        <v>18</v>
      </c>
      <c r="F31" t="s">
        <v>181</v>
      </c>
      <c r="G31">
        <v>3992</v>
      </c>
      <c r="H31">
        <v>1805</v>
      </c>
      <c r="I31" t="s">
        <v>180</v>
      </c>
      <c r="N31">
        <v>1216</v>
      </c>
      <c r="O31" s="3">
        <v>0.30460920929908752</v>
      </c>
      <c r="P31">
        <v>76</v>
      </c>
      <c r="Q31">
        <v>1</v>
      </c>
      <c r="R31">
        <v>1</v>
      </c>
      <c r="S31">
        <v>42</v>
      </c>
      <c r="T31">
        <v>1</v>
      </c>
      <c r="U31">
        <v>1294</v>
      </c>
      <c r="V31" s="3">
        <v>0.32414829730987549</v>
      </c>
      <c r="W31" t="s">
        <v>36</v>
      </c>
    </row>
    <row r="32" spans="1:23" x14ac:dyDescent="0.35">
      <c r="A32" t="s">
        <v>228</v>
      </c>
      <c r="B32" t="s">
        <v>229</v>
      </c>
      <c r="C32" t="s">
        <v>179</v>
      </c>
      <c r="D32" s="22" t="s">
        <v>602</v>
      </c>
      <c r="E32" t="s">
        <v>20</v>
      </c>
      <c r="F32" t="s">
        <v>181</v>
      </c>
      <c r="G32">
        <v>3774</v>
      </c>
      <c r="H32">
        <v>1532</v>
      </c>
      <c r="I32" t="s">
        <v>180</v>
      </c>
      <c r="N32">
        <v>102</v>
      </c>
      <c r="O32" s="3">
        <v>2.7027027681469917E-2</v>
      </c>
      <c r="P32">
        <v>23</v>
      </c>
      <c r="Q32">
        <v>4</v>
      </c>
      <c r="R32">
        <v>2</v>
      </c>
      <c r="S32">
        <v>19</v>
      </c>
      <c r="T32">
        <v>4</v>
      </c>
      <c r="U32">
        <v>131</v>
      </c>
      <c r="V32" s="3">
        <v>3.4711182117462158E-2</v>
      </c>
      <c r="W32" t="s">
        <v>34</v>
      </c>
    </row>
    <row r="33" spans="1:23" ht="101.5" x14ac:dyDescent="0.35">
      <c r="A33" t="s">
        <v>226</v>
      </c>
      <c r="B33" t="s">
        <v>227</v>
      </c>
      <c r="C33" t="s">
        <v>179</v>
      </c>
      <c r="D33" s="22" t="s">
        <v>100</v>
      </c>
      <c r="E33" t="s">
        <v>18</v>
      </c>
      <c r="F33" t="s">
        <v>181</v>
      </c>
      <c r="G33">
        <v>2897</v>
      </c>
      <c r="H33">
        <v>1743</v>
      </c>
      <c r="I33">
        <v>1453</v>
      </c>
      <c r="J33" t="s">
        <v>373</v>
      </c>
      <c r="K33" t="s">
        <v>79</v>
      </c>
      <c r="L33" s="9" t="s">
        <v>374</v>
      </c>
      <c r="M33" s="9" t="s">
        <v>375</v>
      </c>
      <c r="N33">
        <v>138</v>
      </c>
      <c r="O33" s="3">
        <v>4.7651935368776321E-2</v>
      </c>
      <c r="P33">
        <v>29</v>
      </c>
      <c r="Q33">
        <v>1</v>
      </c>
      <c r="R33">
        <v>0</v>
      </c>
      <c r="S33">
        <v>25</v>
      </c>
      <c r="T33">
        <v>0</v>
      </c>
      <c r="U33">
        <v>168</v>
      </c>
      <c r="V33" s="3">
        <v>5.8011051267385483E-2</v>
      </c>
      <c r="W33" t="s">
        <v>35</v>
      </c>
    </row>
    <row r="34" spans="1:23" x14ac:dyDescent="0.35">
      <c r="A34" t="s">
        <v>224</v>
      </c>
      <c r="B34" t="s">
        <v>225</v>
      </c>
      <c r="C34" t="s">
        <v>179</v>
      </c>
      <c r="D34" s="22" t="s">
        <v>101</v>
      </c>
      <c r="E34" t="s">
        <v>20</v>
      </c>
      <c r="F34" t="s">
        <v>181</v>
      </c>
      <c r="G34">
        <v>4525</v>
      </c>
      <c r="H34">
        <v>2117</v>
      </c>
      <c r="I34" t="s">
        <v>180</v>
      </c>
      <c r="N34">
        <v>1502</v>
      </c>
      <c r="O34" s="3">
        <v>0.33193370699882507</v>
      </c>
      <c r="P34">
        <v>86</v>
      </c>
      <c r="Q34">
        <v>5</v>
      </c>
      <c r="R34">
        <v>4</v>
      </c>
      <c r="S34">
        <v>47</v>
      </c>
      <c r="T34">
        <v>11</v>
      </c>
      <c r="U34">
        <v>1597</v>
      </c>
      <c r="V34" s="3">
        <v>0.35292819142341614</v>
      </c>
      <c r="W34" t="s">
        <v>36</v>
      </c>
    </row>
    <row r="35" spans="1:23" x14ac:dyDescent="0.35">
      <c r="A35" t="s">
        <v>222</v>
      </c>
      <c r="B35" t="s">
        <v>223</v>
      </c>
      <c r="C35" t="s">
        <v>179</v>
      </c>
      <c r="D35" s="24">
        <v>45722</v>
      </c>
      <c r="E35" t="s">
        <v>66</v>
      </c>
      <c r="F35" t="s">
        <v>181</v>
      </c>
      <c r="G35">
        <v>2645</v>
      </c>
      <c r="H35">
        <v>1514</v>
      </c>
      <c r="I35" t="s">
        <v>180</v>
      </c>
      <c r="N35">
        <v>441</v>
      </c>
      <c r="O35" s="3">
        <v>0.16672967374324799</v>
      </c>
      <c r="P35">
        <v>27</v>
      </c>
      <c r="Q35">
        <v>7</v>
      </c>
      <c r="R35">
        <v>4</v>
      </c>
      <c r="S35">
        <v>16</v>
      </c>
      <c r="T35">
        <v>10</v>
      </c>
      <c r="U35">
        <v>479</v>
      </c>
      <c r="V35" s="3">
        <v>0.1810964047908783</v>
      </c>
      <c r="W35" t="s">
        <v>36</v>
      </c>
    </row>
    <row r="36" spans="1:23" x14ac:dyDescent="0.35">
      <c r="A36" t="s">
        <v>220</v>
      </c>
      <c r="B36" t="s">
        <v>221</v>
      </c>
      <c r="C36" t="s">
        <v>179</v>
      </c>
      <c r="D36" s="24">
        <v>45753</v>
      </c>
      <c r="E36" t="s">
        <v>20</v>
      </c>
      <c r="F36" t="s">
        <v>181</v>
      </c>
      <c r="G36">
        <v>3439</v>
      </c>
      <c r="H36">
        <v>1681</v>
      </c>
      <c r="I36" t="s">
        <v>180</v>
      </c>
      <c r="N36">
        <v>190</v>
      </c>
      <c r="O36" s="3">
        <v>5.5248618125915527E-2</v>
      </c>
      <c r="P36">
        <v>42</v>
      </c>
      <c r="Q36">
        <v>1</v>
      </c>
      <c r="R36">
        <v>1</v>
      </c>
      <c r="S36">
        <v>18</v>
      </c>
      <c r="T36">
        <v>2</v>
      </c>
      <c r="U36">
        <v>234</v>
      </c>
      <c r="V36" s="3">
        <v>6.8043038249015808E-2</v>
      </c>
      <c r="W36" t="s">
        <v>34</v>
      </c>
    </row>
    <row r="37" spans="1:23" x14ac:dyDescent="0.35">
      <c r="A37" t="s">
        <v>218</v>
      </c>
      <c r="B37" t="s">
        <v>219</v>
      </c>
      <c r="C37" t="s">
        <v>179</v>
      </c>
      <c r="D37" s="22" t="s">
        <v>102</v>
      </c>
      <c r="E37" t="s">
        <v>58</v>
      </c>
      <c r="F37" t="s">
        <v>181</v>
      </c>
      <c r="G37">
        <v>3666</v>
      </c>
      <c r="H37">
        <v>1852</v>
      </c>
      <c r="I37" t="s">
        <v>180</v>
      </c>
      <c r="N37">
        <v>585</v>
      </c>
      <c r="O37" s="3">
        <v>0.15957446396350861</v>
      </c>
      <c r="P37">
        <v>59</v>
      </c>
      <c r="Q37">
        <v>5</v>
      </c>
      <c r="R37">
        <v>0</v>
      </c>
      <c r="S37">
        <v>35</v>
      </c>
      <c r="T37">
        <v>2</v>
      </c>
      <c r="U37">
        <v>649</v>
      </c>
      <c r="V37" s="3">
        <v>0.17703218758106232</v>
      </c>
      <c r="W37" t="s">
        <v>36</v>
      </c>
    </row>
    <row r="38" spans="1:23" x14ac:dyDescent="0.35">
      <c r="A38" t="s">
        <v>216</v>
      </c>
      <c r="B38" t="s">
        <v>217</v>
      </c>
      <c r="C38" t="s">
        <v>179</v>
      </c>
      <c r="D38" s="24">
        <v>45695</v>
      </c>
      <c r="E38" t="s">
        <v>20</v>
      </c>
      <c r="F38" t="s">
        <v>181</v>
      </c>
      <c r="G38">
        <v>2794</v>
      </c>
      <c r="H38">
        <v>1541</v>
      </c>
      <c r="I38" t="s">
        <v>180</v>
      </c>
      <c r="N38">
        <v>361</v>
      </c>
      <c r="O38" s="3">
        <v>0.12920543551445007</v>
      </c>
      <c r="P38">
        <v>24</v>
      </c>
      <c r="Q38">
        <v>3</v>
      </c>
      <c r="R38">
        <v>1</v>
      </c>
      <c r="S38">
        <v>14</v>
      </c>
      <c r="T38">
        <v>1</v>
      </c>
      <c r="U38">
        <v>389</v>
      </c>
      <c r="V38" s="3">
        <v>0.13922691345214844</v>
      </c>
      <c r="W38" t="s">
        <v>36</v>
      </c>
    </row>
    <row r="39" spans="1:23" x14ac:dyDescent="0.35">
      <c r="A39" t="s">
        <v>214</v>
      </c>
      <c r="B39" t="s">
        <v>215</v>
      </c>
      <c r="C39" t="s">
        <v>179</v>
      </c>
      <c r="D39" s="24">
        <v>45968</v>
      </c>
      <c r="E39" t="s">
        <v>18</v>
      </c>
      <c r="F39" t="s">
        <v>181</v>
      </c>
      <c r="G39">
        <v>3944</v>
      </c>
      <c r="H39">
        <v>1919</v>
      </c>
      <c r="I39" t="s">
        <v>180</v>
      </c>
      <c r="N39">
        <v>898</v>
      </c>
      <c r="O39" s="3">
        <v>0.22768762707710266</v>
      </c>
      <c r="P39">
        <v>56</v>
      </c>
      <c r="Q39">
        <v>3</v>
      </c>
      <c r="R39">
        <v>1</v>
      </c>
      <c r="S39">
        <v>13</v>
      </c>
      <c r="T39">
        <v>1</v>
      </c>
      <c r="U39">
        <v>958</v>
      </c>
      <c r="V39" s="3">
        <v>0.24290060997009277</v>
      </c>
      <c r="W39" t="s">
        <v>36</v>
      </c>
    </row>
    <row r="40" spans="1:23" ht="72.5" x14ac:dyDescent="0.35">
      <c r="A40" t="s">
        <v>212</v>
      </c>
      <c r="B40" t="s">
        <v>213</v>
      </c>
      <c r="C40" t="s">
        <v>179</v>
      </c>
      <c r="D40" s="22" t="s">
        <v>105</v>
      </c>
      <c r="E40" t="s">
        <v>58</v>
      </c>
      <c r="F40" t="s">
        <v>181</v>
      </c>
      <c r="G40">
        <v>1548</v>
      </c>
      <c r="H40">
        <v>916</v>
      </c>
      <c r="I40">
        <v>527</v>
      </c>
      <c r="J40" t="s">
        <v>370</v>
      </c>
      <c r="K40" t="s">
        <v>42</v>
      </c>
      <c r="L40" s="9" t="s">
        <v>371</v>
      </c>
      <c r="M40" t="s">
        <v>372</v>
      </c>
      <c r="N40">
        <v>44</v>
      </c>
      <c r="O40" s="3">
        <v>2.8442146256566048E-2</v>
      </c>
      <c r="P40">
        <v>24</v>
      </c>
      <c r="Q40">
        <v>2</v>
      </c>
      <c r="R40">
        <v>0</v>
      </c>
      <c r="S40">
        <v>7</v>
      </c>
      <c r="T40">
        <v>0</v>
      </c>
      <c r="U40">
        <v>70</v>
      </c>
      <c r="V40" s="3">
        <v>4.5248869806528091E-2</v>
      </c>
      <c r="W40" t="s">
        <v>35</v>
      </c>
    </row>
    <row r="41" spans="1:23" x14ac:dyDescent="0.35">
      <c r="A41" t="s">
        <v>210</v>
      </c>
      <c r="B41" t="s">
        <v>211</v>
      </c>
      <c r="C41" t="s">
        <v>179</v>
      </c>
      <c r="D41" s="22" t="s">
        <v>110</v>
      </c>
      <c r="E41" t="s">
        <v>20</v>
      </c>
      <c r="F41" t="s">
        <v>181</v>
      </c>
      <c r="G41">
        <v>2406</v>
      </c>
      <c r="H41">
        <v>1357</v>
      </c>
      <c r="I41" t="s">
        <v>180</v>
      </c>
      <c r="N41">
        <v>52</v>
      </c>
      <c r="O41" s="3">
        <v>2.1612634882330894E-2</v>
      </c>
      <c r="P41">
        <v>42</v>
      </c>
      <c r="Q41">
        <v>9</v>
      </c>
      <c r="R41">
        <v>7</v>
      </c>
      <c r="S41">
        <v>17</v>
      </c>
      <c r="T41">
        <v>2</v>
      </c>
      <c r="U41">
        <v>110</v>
      </c>
      <c r="V41" s="3">
        <v>4.5719034969806671E-2</v>
      </c>
      <c r="W41" t="s">
        <v>34</v>
      </c>
    </row>
    <row r="42" spans="1:23" ht="101.5" x14ac:dyDescent="0.35">
      <c r="A42" t="s">
        <v>208</v>
      </c>
      <c r="B42" t="s">
        <v>209</v>
      </c>
      <c r="C42" t="s">
        <v>179</v>
      </c>
      <c r="D42" s="24">
        <v>45665</v>
      </c>
      <c r="E42" t="s">
        <v>18</v>
      </c>
      <c r="F42" t="s">
        <v>181</v>
      </c>
      <c r="G42">
        <v>4669</v>
      </c>
      <c r="H42">
        <v>2901</v>
      </c>
      <c r="I42">
        <v>2238</v>
      </c>
      <c r="J42" t="s">
        <v>367</v>
      </c>
      <c r="K42" t="s">
        <v>91</v>
      </c>
      <c r="L42" s="9" t="s">
        <v>368</v>
      </c>
      <c r="M42" s="9" t="s">
        <v>369</v>
      </c>
      <c r="N42">
        <v>243</v>
      </c>
      <c r="O42" s="3">
        <v>5.204540491104126E-2</v>
      </c>
      <c r="P42">
        <v>63</v>
      </c>
      <c r="Q42">
        <v>10</v>
      </c>
      <c r="R42">
        <v>7</v>
      </c>
      <c r="S42">
        <v>39</v>
      </c>
      <c r="T42">
        <v>2</v>
      </c>
      <c r="U42">
        <v>323</v>
      </c>
      <c r="V42" s="3">
        <v>6.9179698824882507E-2</v>
      </c>
      <c r="W42" t="s">
        <v>34</v>
      </c>
    </row>
    <row r="43" spans="1:23" ht="101.5" x14ac:dyDescent="0.35">
      <c r="A43" t="s">
        <v>206</v>
      </c>
      <c r="B43" s="21" t="s">
        <v>207</v>
      </c>
      <c r="C43" t="s">
        <v>179</v>
      </c>
      <c r="D43" s="24">
        <v>45755</v>
      </c>
      <c r="E43" t="s">
        <v>58</v>
      </c>
      <c r="F43" t="s">
        <v>181</v>
      </c>
      <c r="G43">
        <v>2498</v>
      </c>
      <c r="H43">
        <v>1578</v>
      </c>
      <c r="I43">
        <v>1047</v>
      </c>
      <c r="J43" s="22" t="s">
        <v>364</v>
      </c>
      <c r="K43" t="s">
        <v>53</v>
      </c>
      <c r="L43" s="9" t="s">
        <v>365</v>
      </c>
      <c r="M43" s="9" t="s">
        <v>366</v>
      </c>
      <c r="N43">
        <v>100</v>
      </c>
      <c r="O43" s="3">
        <v>4.0048059076070786E-2</v>
      </c>
      <c r="P43">
        <v>31</v>
      </c>
      <c r="Q43">
        <v>5</v>
      </c>
      <c r="R43">
        <v>1</v>
      </c>
      <c r="S43">
        <v>14</v>
      </c>
      <c r="T43">
        <v>1</v>
      </c>
      <c r="U43">
        <v>137</v>
      </c>
      <c r="V43" s="3">
        <v>5.4865840822458267E-2</v>
      </c>
      <c r="W43" t="s">
        <v>35</v>
      </c>
    </row>
    <row r="44" spans="1:23" x14ac:dyDescent="0.35">
      <c r="A44" t="s">
        <v>204</v>
      </c>
      <c r="B44" t="s">
        <v>205</v>
      </c>
      <c r="C44" t="s">
        <v>179</v>
      </c>
      <c r="D44" s="24">
        <v>45877</v>
      </c>
      <c r="E44" t="s">
        <v>18</v>
      </c>
      <c r="F44" t="s">
        <v>181</v>
      </c>
      <c r="G44">
        <v>5891</v>
      </c>
      <c r="H44">
        <v>3289</v>
      </c>
      <c r="I44" t="s">
        <v>180</v>
      </c>
      <c r="N44">
        <v>575</v>
      </c>
      <c r="O44" s="3">
        <v>9.765625E-2</v>
      </c>
      <c r="P44">
        <v>94</v>
      </c>
      <c r="Q44">
        <v>16</v>
      </c>
      <c r="R44">
        <v>1</v>
      </c>
      <c r="S44">
        <v>78</v>
      </c>
      <c r="T44">
        <v>22</v>
      </c>
      <c r="U44">
        <v>686</v>
      </c>
      <c r="V44" s="3">
        <v>0.11650814861059189</v>
      </c>
      <c r="W44" t="s">
        <v>34</v>
      </c>
    </row>
    <row r="45" spans="1:23" ht="101.5" x14ac:dyDescent="0.35">
      <c r="A45" t="s">
        <v>202</v>
      </c>
      <c r="B45" t="s">
        <v>203</v>
      </c>
      <c r="C45" t="s">
        <v>179</v>
      </c>
      <c r="D45" s="24">
        <v>45969</v>
      </c>
      <c r="E45" t="s">
        <v>58</v>
      </c>
      <c r="F45" t="s">
        <v>181</v>
      </c>
      <c r="G45">
        <v>2714</v>
      </c>
      <c r="H45">
        <v>1732</v>
      </c>
      <c r="I45">
        <v>1312</v>
      </c>
      <c r="J45" t="s">
        <v>361</v>
      </c>
      <c r="K45" t="s">
        <v>53</v>
      </c>
      <c r="L45" s="9" t="s">
        <v>362</v>
      </c>
      <c r="M45" s="9" t="s">
        <v>363</v>
      </c>
      <c r="N45">
        <v>86</v>
      </c>
      <c r="O45" s="3">
        <v>3.1710915267467499E-2</v>
      </c>
      <c r="P45">
        <v>21</v>
      </c>
      <c r="Q45">
        <v>11</v>
      </c>
      <c r="R45">
        <v>1</v>
      </c>
      <c r="S45">
        <v>10</v>
      </c>
      <c r="T45">
        <v>0</v>
      </c>
      <c r="U45">
        <v>119</v>
      </c>
      <c r="V45" s="3">
        <v>4.3879054486751556E-2</v>
      </c>
      <c r="W45" t="s">
        <v>35</v>
      </c>
    </row>
    <row r="46" spans="1:23" ht="101.5" x14ac:dyDescent="0.35">
      <c r="A46" t="s">
        <v>200</v>
      </c>
      <c r="B46" t="s">
        <v>201</v>
      </c>
      <c r="C46" t="s">
        <v>179</v>
      </c>
      <c r="D46" s="22" t="s">
        <v>122</v>
      </c>
      <c r="E46" t="s">
        <v>51</v>
      </c>
      <c r="F46" t="s">
        <v>181</v>
      </c>
      <c r="G46">
        <v>2777</v>
      </c>
      <c r="H46">
        <v>1757</v>
      </c>
      <c r="I46">
        <v>1119</v>
      </c>
      <c r="J46" t="s">
        <v>357</v>
      </c>
      <c r="K46" t="s">
        <v>79</v>
      </c>
      <c r="L46" s="9" t="s">
        <v>359</v>
      </c>
      <c r="M46" s="9" t="s">
        <v>360</v>
      </c>
      <c r="N46">
        <v>92</v>
      </c>
      <c r="O46" s="3">
        <v>3.3165104687213898E-2</v>
      </c>
      <c r="P46">
        <v>44</v>
      </c>
      <c r="Q46">
        <v>6</v>
      </c>
      <c r="R46">
        <v>4</v>
      </c>
      <c r="S46">
        <v>9</v>
      </c>
      <c r="T46">
        <v>1</v>
      </c>
      <c r="U46">
        <v>146</v>
      </c>
      <c r="V46" s="3">
        <v>5.2631579339504242E-2</v>
      </c>
      <c r="W46" t="s">
        <v>35</v>
      </c>
    </row>
    <row r="47" spans="1:23" x14ac:dyDescent="0.35">
      <c r="A47" t="s">
        <v>198</v>
      </c>
      <c r="B47" t="s">
        <v>199</v>
      </c>
      <c r="C47" t="s">
        <v>179</v>
      </c>
      <c r="D47" s="22" t="s">
        <v>124</v>
      </c>
      <c r="E47" t="s">
        <v>18</v>
      </c>
      <c r="F47" t="s">
        <v>181</v>
      </c>
      <c r="G47">
        <v>4618</v>
      </c>
      <c r="H47">
        <v>2256</v>
      </c>
      <c r="I47" t="s">
        <v>180</v>
      </c>
      <c r="N47">
        <v>1338</v>
      </c>
      <c r="O47" s="3">
        <v>0.28992417454719543</v>
      </c>
      <c r="P47">
        <v>89</v>
      </c>
      <c r="Q47">
        <v>22</v>
      </c>
      <c r="R47">
        <v>1</v>
      </c>
      <c r="S47">
        <v>30</v>
      </c>
      <c r="T47">
        <v>4</v>
      </c>
      <c r="U47">
        <v>1450</v>
      </c>
      <c r="V47" s="3">
        <v>0.31419286131858826</v>
      </c>
      <c r="W47" t="s">
        <v>36</v>
      </c>
    </row>
    <row r="48" spans="1:23" x14ac:dyDescent="0.35">
      <c r="A48" t="s">
        <v>194</v>
      </c>
      <c r="B48" t="s">
        <v>195</v>
      </c>
      <c r="C48" t="s">
        <v>179</v>
      </c>
      <c r="D48" s="22" t="s">
        <v>137</v>
      </c>
      <c r="E48" t="s">
        <v>51</v>
      </c>
      <c r="F48" t="s">
        <v>181</v>
      </c>
      <c r="G48">
        <v>6244</v>
      </c>
      <c r="H48">
        <v>3665</v>
      </c>
      <c r="I48" t="s">
        <v>180</v>
      </c>
      <c r="N48">
        <v>376</v>
      </c>
      <c r="O48" s="3">
        <v>6.027572974562645E-2</v>
      </c>
      <c r="P48">
        <v>75</v>
      </c>
      <c r="Q48">
        <v>12</v>
      </c>
      <c r="R48">
        <v>1</v>
      </c>
      <c r="S48">
        <v>62</v>
      </c>
      <c r="T48">
        <v>30</v>
      </c>
      <c r="U48">
        <v>464</v>
      </c>
      <c r="V48" s="3">
        <v>7.4382811784744263E-2</v>
      </c>
      <c r="W48" t="s">
        <v>34</v>
      </c>
    </row>
    <row r="49" spans="1:23" x14ac:dyDescent="0.35">
      <c r="A49" t="s">
        <v>196</v>
      </c>
      <c r="B49" t="s">
        <v>197</v>
      </c>
      <c r="C49" t="s">
        <v>179</v>
      </c>
      <c r="D49" s="22" t="s">
        <v>137</v>
      </c>
      <c r="E49" t="s">
        <v>51</v>
      </c>
      <c r="F49" t="s">
        <v>181</v>
      </c>
      <c r="G49">
        <v>4721</v>
      </c>
      <c r="H49">
        <v>2494</v>
      </c>
      <c r="I49" t="s">
        <v>180</v>
      </c>
      <c r="N49">
        <v>266</v>
      </c>
      <c r="O49" s="3">
        <v>5.6403733789920807E-2</v>
      </c>
      <c r="P49">
        <v>14</v>
      </c>
      <c r="Q49">
        <v>1</v>
      </c>
      <c r="R49">
        <v>0</v>
      </c>
      <c r="S49">
        <v>27</v>
      </c>
      <c r="T49">
        <v>3</v>
      </c>
      <c r="U49">
        <v>281</v>
      </c>
      <c r="V49" s="3">
        <v>5.9584394097328186E-2</v>
      </c>
      <c r="W49" t="s">
        <v>34</v>
      </c>
    </row>
    <row r="50" spans="1:23" ht="87" x14ac:dyDescent="0.35">
      <c r="A50" t="s">
        <v>192</v>
      </c>
      <c r="B50" s="21" t="s">
        <v>193</v>
      </c>
      <c r="C50" t="s">
        <v>179</v>
      </c>
      <c r="D50" s="22" t="s">
        <v>139</v>
      </c>
      <c r="E50" t="s">
        <v>18</v>
      </c>
      <c r="F50" t="s">
        <v>181</v>
      </c>
      <c r="G50">
        <v>4925</v>
      </c>
      <c r="H50">
        <v>2705</v>
      </c>
      <c r="I50">
        <v>2047</v>
      </c>
      <c r="J50" t="s">
        <v>352</v>
      </c>
      <c r="K50" t="s">
        <v>141</v>
      </c>
      <c r="L50" s="9" t="s">
        <v>355</v>
      </c>
      <c r="M50" s="9" t="s">
        <v>356</v>
      </c>
      <c r="N50">
        <v>196</v>
      </c>
      <c r="O50" s="3">
        <v>3.9829302579164505E-2</v>
      </c>
      <c r="P50">
        <v>37</v>
      </c>
      <c r="Q50">
        <v>1</v>
      </c>
      <c r="R50">
        <v>2</v>
      </c>
      <c r="S50">
        <v>18</v>
      </c>
      <c r="T50">
        <v>3</v>
      </c>
      <c r="U50">
        <v>236</v>
      </c>
      <c r="V50" s="3">
        <v>4.7957733273506165E-2</v>
      </c>
      <c r="W50" t="s">
        <v>35</v>
      </c>
    </row>
    <row r="51" spans="1:23" x14ac:dyDescent="0.35">
      <c r="A51" t="s">
        <v>190</v>
      </c>
      <c r="B51" t="s">
        <v>191</v>
      </c>
      <c r="C51" t="s">
        <v>179</v>
      </c>
      <c r="D51" s="24">
        <v>45725</v>
      </c>
      <c r="E51" t="s">
        <v>20</v>
      </c>
      <c r="F51" t="s">
        <v>181</v>
      </c>
      <c r="G51">
        <v>2445</v>
      </c>
      <c r="H51">
        <v>1467</v>
      </c>
      <c r="I51" t="s">
        <v>180</v>
      </c>
      <c r="N51">
        <v>96</v>
      </c>
      <c r="O51" s="3">
        <v>3.939269483089447E-2</v>
      </c>
      <c r="P51">
        <v>32</v>
      </c>
      <c r="Q51">
        <v>6</v>
      </c>
      <c r="R51">
        <v>1</v>
      </c>
      <c r="S51">
        <v>17</v>
      </c>
      <c r="T51">
        <v>1</v>
      </c>
      <c r="U51">
        <v>135</v>
      </c>
      <c r="V51" s="3">
        <v>5.5395979434251785E-2</v>
      </c>
      <c r="W51" t="s">
        <v>34</v>
      </c>
    </row>
    <row r="52" spans="1:23" x14ac:dyDescent="0.35">
      <c r="A52" t="s">
        <v>188</v>
      </c>
      <c r="B52" t="s">
        <v>189</v>
      </c>
      <c r="C52" t="s">
        <v>179</v>
      </c>
      <c r="D52" s="24">
        <v>45756</v>
      </c>
      <c r="E52" t="s">
        <v>51</v>
      </c>
      <c r="F52" t="s">
        <v>181</v>
      </c>
      <c r="G52">
        <v>3167</v>
      </c>
      <c r="H52">
        <v>1722</v>
      </c>
      <c r="I52" t="s">
        <v>180</v>
      </c>
      <c r="N52">
        <v>752</v>
      </c>
      <c r="O52" s="3">
        <v>0.2382008284330368</v>
      </c>
      <c r="P52">
        <v>34</v>
      </c>
      <c r="Q52">
        <v>10</v>
      </c>
      <c r="R52">
        <v>0</v>
      </c>
      <c r="S52">
        <v>17</v>
      </c>
      <c r="T52">
        <v>2</v>
      </c>
      <c r="U52">
        <v>796</v>
      </c>
      <c r="V52" s="3">
        <v>0.25213810801506042</v>
      </c>
      <c r="W52" t="s">
        <v>36</v>
      </c>
    </row>
    <row r="53" spans="1:23" x14ac:dyDescent="0.35">
      <c r="A53" t="s">
        <v>186</v>
      </c>
      <c r="B53" t="s">
        <v>187</v>
      </c>
      <c r="C53" t="s">
        <v>179</v>
      </c>
      <c r="D53" s="24">
        <v>45939</v>
      </c>
      <c r="E53" t="s">
        <v>20</v>
      </c>
      <c r="F53" t="s">
        <v>181</v>
      </c>
      <c r="G53">
        <v>771</v>
      </c>
      <c r="H53">
        <v>530</v>
      </c>
      <c r="I53" t="s">
        <v>180</v>
      </c>
      <c r="N53">
        <v>17</v>
      </c>
      <c r="O53" s="3">
        <v>2.228047139942646E-2</v>
      </c>
      <c r="P53">
        <v>5</v>
      </c>
      <c r="Q53">
        <v>1</v>
      </c>
      <c r="R53">
        <v>0</v>
      </c>
      <c r="S53">
        <v>4</v>
      </c>
      <c r="T53">
        <v>0</v>
      </c>
      <c r="U53">
        <v>23</v>
      </c>
      <c r="V53" s="3">
        <v>3.0144168063998222E-2</v>
      </c>
      <c r="W53" t="s">
        <v>34</v>
      </c>
    </row>
    <row r="54" spans="1:23" x14ac:dyDescent="0.35">
      <c r="A54" t="s">
        <v>184</v>
      </c>
      <c r="B54" t="s">
        <v>185</v>
      </c>
      <c r="C54" t="s">
        <v>179</v>
      </c>
      <c r="D54" s="22" t="s">
        <v>313</v>
      </c>
      <c r="E54" t="s">
        <v>18</v>
      </c>
      <c r="F54" t="s">
        <v>181</v>
      </c>
      <c r="G54">
        <v>990</v>
      </c>
      <c r="H54">
        <v>587</v>
      </c>
      <c r="I54" t="s">
        <v>180</v>
      </c>
      <c r="N54">
        <v>33</v>
      </c>
      <c r="O54" s="3">
        <v>3.3811476081609726E-2</v>
      </c>
      <c r="P54">
        <v>23</v>
      </c>
      <c r="Q54">
        <v>0</v>
      </c>
      <c r="R54">
        <v>3</v>
      </c>
      <c r="S54">
        <v>10</v>
      </c>
      <c r="T54">
        <v>0</v>
      </c>
      <c r="U54">
        <v>59</v>
      </c>
      <c r="V54" s="3">
        <v>6.045081838965416E-2</v>
      </c>
      <c r="W54" t="s">
        <v>34</v>
      </c>
    </row>
    <row r="55" spans="1:23" x14ac:dyDescent="0.35">
      <c r="A55" t="s">
        <v>182</v>
      </c>
      <c r="B55" t="s">
        <v>183</v>
      </c>
      <c r="C55" t="s">
        <v>179</v>
      </c>
      <c r="D55" s="22" t="s">
        <v>314</v>
      </c>
      <c r="E55" t="s">
        <v>51</v>
      </c>
      <c r="F55" t="s">
        <v>181</v>
      </c>
      <c r="G55">
        <v>1028</v>
      </c>
      <c r="H55">
        <v>649</v>
      </c>
      <c r="I55" t="s">
        <v>180</v>
      </c>
      <c r="N55">
        <v>61</v>
      </c>
      <c r="O55" s="3">
        <v>6.0636181384325027E-2</v>
      </c>
      <c r="P55">
        <v>18</v>
      </c>
      <c r="Q55">
        <v>2</v>
      </c>
      <c r="R55">
        <v>3</v>
      </c>
      <c r="S55">
        <v>4</v>
      </c>
      <c r="T55">
        <v>1</v>
      </c>
      <c r="U55">
        <v>84</v>
      </c>
      <c r="V55" s="3">
        <v>8.3499006927013397E-2</v>
      </c>
      <c r="W55" t="s">
        <v>34</v>
      </c>
    </row>
    <row r="56" spans="1:23" x14ac:dyDescent="0.35">
      <c r="A56" t="s">
        <v>177</v>
      </c>
      <c r="B56" t="s">
        <v>178</v>
      </c>
      <c r="C56" t="s">
        <v>179</v>
      </c>
      <c r="D56" s="22" t="s">
        <v>315</v>
      </c>
      <c r="E56" t="s">
        <v>18</v>
      </c>
      <c r="F56" t="s">
        <v>181</v>
      </c>
      <c r="G56">
        <v>678</v>
      </c>
      <c r="H56">
        <v>421</v>
      </c>
      <c r="I56" t="s">
        <v>180</v>
      </c>
      <c r="N56">
        <v>31</v>
      </c>
      <c r="O56" s="3">
        <v>4.6801872551441193E-2</v>
      </c>
      <c r="P56">
        <v>11</v>
      </c>
      <c r="Q56">
        <v>0</v>
      </c>
      <c r="R56">
        <v>1</v>
      </c>
      <c r="S56">
        <v>6</v>
      </c>
      <c r="T56">
        <v>0</v>
      </c>
      <c r="U56">
        <v>44</v>
      </c>
      <c r="V56" s="3">
        <v>6.5522618591785431E-2</v>
      </c>
      <c r="W56" t="s">
        <v>34</v>
      </c>
    </row>
  </sheetData>
  <sortState xmlns:xlrd2="http://schemas.microsoft.com/office/spreadsheetml/2017/richdata2" ref="A2:W56">
    <sortCondition ref="D2:D56"/>
  </sortState>
  <dataConsolidate/>
  <phoneticPr fontId="2" type="noConversion"/>
  <dataValidations count="1">
    <dataValidation type="list" allowBlank="1" showInputMessage="1" showErrorMessage="1" sqref="W2:W56" xr:uid="{C807E710-6450-40DB-A9E6-8DFE2F8BFA93}">
      <formula1>"Static Post, Carousel Post, Reel"</formula1>
    </dataValidation>
  </dataValidations>
  <hyperlinks>
    <hyperlink ref="B50" r:id="rId1" xr:uid="{DA7066FC-C87A-485A-AEA5-A42388FA4778}"/>
    <hyperlink ref="B43" r:id="rId2" xr:uid="{394E076B-92DE-47B8-8902-12627D3984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DE0E0-EAF9-4E03-9C4C-CBAF87E52206}">
  <dimension ref="A1:U273"/>
  <sheetViews>
    <sheetView workbookViewId="0">
      <selection activeCell="C125" sqref="C125"/>
    </sheetView>
  </sheetViews>
  <sheetFormatPr defaultRowHeight="14.5" x14ac:dyDescent="0.35"/>
  <cols>
    <col min="1" max="1" width="11.1796875" customWidth="1"/>
    <col min="2" max="2" width="9.81640625" customWidth="1"/>
    <col min="3" max="3" width="21" customWidth="1"/>
    <col min="4" max="4" width="24.6328125" customWidth="1"/>
    <col min="5" max="5" width="16.7265625" customWidth="1"/>
    <col min="6" max="6" width="25.26953125" customWidth="1"/>
    <col min="7" max="7" width="13.90625" customWidth="1"/>
    <col min="8" max="8" width="17.6328125" customWidth="1"/>
    <col min="9" max="9" width="13.08984375" customWidth="1"/>
    <col min="10" max="10" width="17.90625" customWidth="1"/>
    <col min="11" max="11" width="19.7265625" customWidth="1"/>
    <col min="12" max="12" width="16.1796875" customWidth="1"/>
    <col min="13" max="13" width="19.1796875" customWidth="1"/>
    <col min="14" max="14" width="20.36328125" customWidth="1"/>
    <col min="15" max="16" width="16.453125" customWidth="1"/>
    <col min="17" max="17" width="18.90625" customWidth="1"/>
    <col min="18" max="18" width="15.54296875" customWidth="1"/>
    <col min="19" max="19" width="23" customWidth="1"/>
    <col min="20" max="20" width="27.90625" customWidth="1"/>
    <col min="21" max="21" width="23.54296875" customWidth="1"/>
  </cols>
  <sheetData>
    <row r="1" spans="1:21" x14ac:dyDescent="0.35">
      <c r="A1" s="17" t="s">
        <v>0</v>
      </c>
      <c r="B1" s="23" t="s">
        <v>17</v>
      </c>
      <c r="C1" s="17" t="s">
        <v>290</v>
      </c>
      <c r="D1" s="17" t="s">
        <v>291</v>
      </c>
      <c r="E1" s="17" t="s">
        <v>292</v>
      </c>
      <c r="F1" s="17" t="s">
        <v>293</v>
      </c>
      <c r="G1" s="17" t="s">
        <v>294</v>
      </c>
      <c r="H1" s="17" t="s">
        <v>295</v>
      </c>
      <c r="I1" s="17" t="s">
        <v>296</v>
      </c>
      <c r="J1" s="17" t="s">
        <v>297</v>
      </c>
      <c r="K1" s="17" t="s">
        <v>298</v>
      </c>
      <c r="L1" s="17" t="s">
        <v>299</v>
      </c>
      <c r="M1" s="17" t="s">
        <v>300</v>
      </c>
      <c r="N1" s="17" t="s">
        <v>301</v>
      </c>
      <c r="O1" s="17" t="s">
        <v>302</v>
      </c>
      <c r="P1" s="17" t="s">
        <v>303</v>
      </c>
      <c r="Q1" s="17" t="s">
        <v>304</v>
      </c>
      <c r="R1" s="17" t="s">
        <v>305</v>
      </c>
      <c r="S1" s="17" t="s">
        <v>306</v>
      </c>
      <c r="T1" s="17" t="s">
        <v>307</v>
      </c>
      <c r="U1" s="17" t="s">
        <v>308</v>
      </c>
    </row>
    <row r="2" spans="1:21" x14ac:dyDescent="0.35">
      <c r="A2" s="24" t="s">
        <v>463</v>
      </c>
      <c r="B2" t="s">
        <v>58</v>
      </c>
      <c r="C2">
        <v>283</v>
      </c>
      <c r="D2">
        <v>0</v>
      </c>
      <c r="E2">
        <v>283</v>
      </c>
      <c r="F2">
        <v>76</v>
      </c>
      <c r="G2">
        <v>31</v>
      </c>
      <c r="H2">
        <v>0</v>
      </c>
      <c r="I2">
        <v>31</v>
      </c>
      <c r="J2">
        <v>4</v>
      </c>
      <c r="K2">
        <v>0</v>
      </c>
      <c r="L2">
        <v>4</v>
      </c>
      <c r="M2">
        <v>0</v>
      </c>
      <c r="N2">
        <v>0</v>
      </c>
      <c r="O2">
        <v>0</v>
      </c>
      <c r="P2">
        <v>0</v>
      </c>
      <c r="Q2">
        <v>0</v>
      </c>
      <c r="R2">
        <v>0</v>
      </c>
      <c r="S2">
        <v>0.12367491166077739</v>
      </c>
      <c r="T2">
        <v>0</v>
      </c>
      <c r="U2">
        <v>0.12367491166077739</v>
      </c>
    </row>
    <row r="3" spans="1:21" x14ac:dyDescent="0.35">
      <c r="A3" s="24" t="s">
        <v>464</v>
      </c>
      <c r="B3" t="s">
        <v>66</v>
      </c>
      <c r="C3">
        <v>342</v>
      </c>
      <c r="D3">
        <v>0</v>
      </c>
      <c r="E3">
        <v>342</v>
      </c>
      <c r="F3">
        <v>64</v>
      </c>
      <c r="G3">
        <v>32</v>
      </c>
      <c r="H3">
        <v>0</v>
      </c>
      <c r="I3">
        <v>32</v>
      </c>
      <c r="J3">
        <v>1</v>
      </c>
      <c r="K3">
        <v>0</v>
      </c>
      <c r="L3">
        <v>1</v>
      </c>
      <c r="M3">
        <v>0</v>
      </c>
      <c r="N3">
        <v>0</v>
      </c>
      <c r="O3">
        <v>0</v>
      </c>
      <c r="P3">
        <v>0</v>
      </c>
      <c r="Q3">
        <v>0</v>
      </c>
      <c r="R3">
        <v>0</v>
      </c>
      <c r="S3">
        <v>9.6491228070175433E-2</v>
      </c>
      <c r="T3">
        <v>0</v>
      </c>
      <c r="U3">
        <v>9.6491228070175433E-2</v>
      </c>
    </row>
    <row r="4" spans="1:21" x14ac:dyDescent="0.35">
      <c r="A4" s="24">
        <v>45658</v>
      </c>
      <c r="B4" s="1" t="s">
        <v>20</v>
      </c>
      <c r="C4">
        <v>665</v>
      </c>
      <c r="D4">
        <v>0</v>
      </c>
      <c r="E4">
        <v>665</v>
      </c>
      <c r="F4">
        <v>204</v>
      </c>
      <c r="G4">
        <v>76</v>
      </c>
      <c r="H4">
        <v>0</v>
      </c>
      <c r="I4">
        <v>76</v>
      </c>
      <c r="J4">
        <v>15</v>
      </c>
      <c r="K4">
        <v>0</v>
      </c>
      <c r="L4">
        <v>15</v>
      </c>
      <c r="M4">
        <v>0</v>
      </c>
      <c r="N4">
        <v>0</v>
      </c>
      <c r="O4">
        <v>0</v>
      </c>
      <c r="P4">
        <v>0</v>
      </c>
      <c r="Q4">
        <v>0</v>
      </c>
      <c r="R4">
        <v>0</v>
      </c>
      <c r="S4">
        <v>0.1368421052631579</v>
      </c>
      <c r="T4">
        <v>0</v>
      </c>
      <c r="U4">
        <v>0.1368421052631579</v>
      </c>
    </row>
    <row r="5" spans="1:21" x14ac:dyDescent="0.35">
      <c r="A5" s="24">
        <v>45689</v>
      </c>
      <c r="B5" s="1" t="s">
        <v>51</v>
      </c>
      <c r="C5">
        <v>606</v>
      </c>
      <c r="D5">
        <v>0</v>
      </c>
      <c r="E5">
        <v>606</v>
      </c>
      <c r="F5">
        <v>214</v>
      </c>
      <c r="G5">
        <v>61</v>
      </c>
      <c r="H5">
        <v>0</v>
      </c>
      <c r="I5">
        <v>61</v>
      </c>
      <c r="J5">
        <v>21</v>
      </c>
      <c r="K5">
        <v>0</v>
      </c>
      <c r="L5">
        <v>21</v>
      </c>
      <c r="M5">
        <v>0</v>
      </c>
      <c r="N5">
        <v>0</v>
      </c>
      <c r="O5">
        <v>0</v>
      </c>
      <c r="P5">
        <v>0</v>
      </c>
      <c r="Q5">
        <v>0</v>
      </c>
      <c r="R5">
        <v>0</v>
      </c>
      <c r="S5">
        <v>0.13531353135313531</v>
      </c>
      <c r="T5">
        <v>0</v>
      </c>
      <c r="U5">
        <v>0.13531353135313531</v>
      </c>
    </row>
    <row r="6" spans="1:21" x14ac:dyDescent="0.35">
      <c r="A6" s="24">
        <v>45717</v>
      </c>
      <c r="B6" s="1" t="s">
        <v>18</v>
      </c>
      <c r="C6">
        <v>246</v>
      </c>
      <c r="D6">
        <v>0</v>
      </c>
      <c r="E6">
        <v>246</v>
      </c>
      <c r="F6">
        <v>77</v>
      </c>
      <c r="G6">
        <v>17</v>
      </c>
      <c r="H6">
        <v>0</v>
      </c>
      <c r="I6">
        <v>17</v>
      </c>
      <c r="J6">
        <v>4</v>
      </c>
      <c r="K6">
        <v>0</v>
      </c>
      <c r="L6">
        <v>4</v>
      </c>
      <c r="M6">
        <v>1</v>
      </c>
      <c r="N6">
        <v>0</v>
      </c>
      <c r="O6">
        <v>1</v>
      </c>
      <c r="P6">
        <v>0</v>
      </c>
      <c r="Q6">
        <v>0</v>
      </c>
      <c r="R6">
        <v>0</v>
      </c>
      <c r="S6">
        <v>8.943089430894309E-2</v>
      </c>
      <c r="T6">
        <v>0</v>
      </c>
      <c r="U6">
        <v>8.943089430894309E-2</v>
      </c>
    </row>
    <row r="7" spans="1:21" x14ac:dyDescent="0.35">
      <c r="A7" s="24">
        <v>45748</v>
      </c>
      <c r="B7" s="1" t="s">
        <v>55</v>
      </c>
      <c r="C7">
        <v>75</v>
      </c>
      <c r="D7">
        <v>0</v>
      </c>
      <c r="E7">
        <v>75</v>
      </c>
      <c r="F7">
        <v>44</v>
      </c>
      <c r="G7">
        <v>1</v>
      </c>
      <c r="H7">
        <v>0</v>
      </c>
      <c r="I7">
        <v>1</v>
      </c>
      <c r="J7">
        <v>1</v>
      </c>
      <c r="K7">
        <v>0</v>
      </c>
      <c r="L7">
        <v>1</v>
      </c>
      <c r="M7">
        <v>0</v>
      </c>
      <c r="N7">
        <v>0</v>
      </c>
      <c r="O7">
        <v>0</v>
      </c>
      <c r="P7">
        <v>0</v>
      </c>
      <c r="Q7">
        <v>0</v>
      </c>
      <c r="R7">
        <v>0</v>
      </c>
      <c r="S7">
        <v>2.6666666666666668E-2</v>
      </c>
      <c r="T7">
        <v>0</v>
      </c>
      <c r="U7">
        <v>2.6666666666666668E-2</v>
      </c>
    </row>
    <row r="8" spans="1:21" x14ac:dyDescent="0.35">
      <c r="A8" s="24">
        <v>45778</v>
      </c>
      <c r="B8" s="1" t="s">
        <v>21</v>
      </c>
      <c r="C8">
        <v>137</v>
      </c>
      <c r="D8">
        <v>0</v>
      </c>
      <c r="E8">
        <v>137</v>
      </c>
      <c r="F8">
        <v>59</v>
      </c>
      <c r="G8">
        <v>2</v>
      </c>
      <c r="H8">
        <v>0</v>
      </c>
      <c r="I8">
        <v>2</v>
      </c>
      <c r="J8">
        <v>3</v>
      </c>
      <c r="K8">
        <v>0</v>
      </c>
      <c r="L8">
        <v>3</v>
      </c>
      <c r="M8">
        <v>1</v>
      </c>
      <c r="N8">
        <v>0</v>
      </c>
      <c r="O8">
        <v>1</v>
      </c>
      <c r="P8">
        <v>0</v>
      </c>
      <c r="Q8">
        <v>0</v>
      </c>
      <c r="R8">
        <v>0</v>
      </c>
      <c r="S8">
        <v>4.3795620437956206E-2</v>
      </c>
      <c r="T8">
        <v>0</v>
      </c>
      <c r="U8">
        <v>4.3795620437956206E-2</v>
      </c>
    </row>
    <row r="9" spans="1:21" x14ac:dyDescent="0.35">
      <c r="A9" s="24">
        <v>45809</v>
      </c>
      <c r="B9" s="1" t="s">
        <v>58</v>
      </c>
      <c r="C9">
        <v>1100</v>
      </c>
      <c r="D9">
        <v>0</v>
      </c>
      <c r="E9">
        <v>1100</v>
      </c>
      <c r="F9">
        <v>441</v>
      </c>
      <c r="G9">
        <v>318</v>
      </c>
      <c r="H9">
        <v>0</v>
      </c>
      <c r="I9">
        <v>318</v>
      </c>
      <c r="J9">
        <v>33</v>
      </c>
      <c r="K9">
        <v>0</v>
      </c>
      <c r="L9">
        <v>33</v>
      </c>
      <c r="M9">
        <v>6</v>
      </c>
      <c r="N9">
        <v>0</v>
      </c>
      <c r="O9">
        <v>6</v>
      </c>
      <c r="P9">
        <v>1</v>
      </c>
      <c r="Q9">
        <v>0</v>
      </c>
      <c r="R9">
        <v>1</v>
      </c>
      <c r="S9">
        <v>0.32545454545454544</v>
      </c>
      <c r="T9">
        <v>0</v>
      </c>
      <c r="U9">
        <v>0.32545454545454544</v>
      </c>
    </row>
    <row r="10" spans="1:21" x14ac:dyDescent="0.35">
      <c r="A10" s="24">
        <v>45839</v>
      </c>
      <c r="B10" s="1" t="s">
        <v>66</v>
      </c>
      <c r="C10">
        <v>377</v>
      </c>
      <c r="D10">
        <v>0</v>
      </c>
      <c r="E10">
        <v>377</v>
      </c>
      <c r="F10">
        <v>170</v>
      </c>
      <c r="G10">
        <v>79</v>
      </c>
      <c r="H10">
        <v>0</v>
      </c>
      <c r="I10">
        <v>79</v>
      </c>
      <c r="J10">
        <v>10</v>
      </c>
      <c r="K10">
        <v>0</v>
      </c>
      <c r="L10">
        <v>10</v>
      </c>
      <c r="M10">
        <v>0</v>
      </c>
      <c r="N10">
        <v>0</v>
      </c>
      <c r="O10">
        <v>0</v>
      </c>
      <c r="P10">
        <v>0</v>
      </c>
      <c r="Q10">
        <v>0</v>
      </c>
      <c r="R10">
        <v>0</v>
      </c>
      <c r="S10">
        <v>0.23607427055702918</v>
      </c>
      <c r="T10">
        <v>0</v>
      </c>
      <c r="U10">
        <v>0.23607427055702918</v>
      </c>
    </row>
    <row r="11" spans="1:21" x14ac:dyDescent="0.35">
      <c r="A11" s="24">
        <v>45870</v>
      </c>
      <c r="B11" s="1" t="s">
        <v>20</v>
      </c>
      <c r="C11">
        <v>1489</v>
      </c>
      <c r="D11">
        <v>0</v>
      </c>
      <c r="E11">
        <v>1489</v>
      </c>
      <c r="F11">
        <v>714</v>
      </c>
      <c r="G11">
        <v>129</v>
      </c>
      <c r="H11">
        <v>0</v>
      </c>
      <c r="I11">
        <v>129</v>
      </c>
      <c r="J11">
        <v>50</v>
      </c>
      <c r="K11">
        <v>0</v>
      </c>
      <c r="L11">
        <v>50</v>
      </c>
      <c r="M11">
        <v>6</v>
      </c>
      <c r="N11">
        <v>0</v>
      </c>
      <c r="O11">
        <v>6</v>
      </c>
      <c r="P11">
        <v>0</v>
      </c>
      <c r="Q11">
        <v>0</v>
      </c>
      <c r="R11">
        <v>0</v>
      </c>
      <c r="S11">
        <v>0.12424445936870383</v>
      </c>
      <c r="T11">
        <v>0</v>
      </c>
      <c r="U11">
        <v>0.12424445936870383</v>
      </c>
    </row>
    <row r="12" spans="1:21" x14ac:dyDescent="0.35">
      <c r="A12" s="24">
        <v>45901</v>
      </c>
      <c r="B12" s="1" t="s">
        <v>51</v>
      </c>
      <c r="C12">
        <v>269</v>
      </c>
      <c r="D12">
        <v>0</v>
      </c>
      <c r="E12">
        <v>269</v>
      </c>
      <c r="F12">
        <v>139</v>
      </c>
      <c r="G12">
        <v>56</v>
      </c>
      <c r="H12">
        <v>0</v>
      </c>
      <c r="I12">
        <v>56</v>
      </c>
      <c r="J12">
        <v>6</v>
      </c>
      <c r="K12">
        <v>0</v>
      </c>
      <c r="L12">
        <v>6</v>
      </c>
      <c r="M12">
        <v>6</v>
      </c>
      <c r="N12">
        <v>0</v>
      </c>
      <c r="O12">
        <v>6</v>
      </c>
      <c r="P12">
        <v>0</v>
      </c>
      <c r="Q12">
        <v>0</v>
      </c>
      <c r="R12">
        <v>0</v>
      </c>
      <c r="S12">
        <v>0.25278810408921931</v>
      </c>
      <c r="T12">
        <v>0</v>
      </c>
      <c r="U12">
        <v>0.25278810408921931</v>
      </c>
    </row>
    <row r="13" spans="1:21" x14ac:dyDescent="0.35">
      <c r="A13" s="24">
        <v>45931</v>
      </c>
      <c r="B13" s="1" t="s">
        <v>18</v>
      </c>
      <c r="C13">
        <v>384</v>
      </c>
      <c r="D13">
        <v>0</v>
      </c>
      <c r="E13">
        <v>384</v>
      </c>
      <c r="F13">
        <v>129</v>
      </c>
      <c r="G13">
        <v>56</v>
      </c>
      <c r="H13">
        <v>0</v>
      </c>
      <c r="I13">
        <v>56</v>
      </c>
      <c r="J13">
        <v>8</v>
      </c>
      <c r="K13">
        <v>0</v>
      </c>
      <c r="L13">
        <v>8</v>
      </c>
      <c r="M13">
        <v>1</v>
      </c>
      <c r="N13">
        <v>0</v>
      </c>
      <c r="O13">
        <v>1</v>
      </c>
      <c r="P13">
        <v>0</v>
      </c>
      <c r="Q13">
        <v>0</v>
      </c>
      <c r="R13">
        <v>0</v>
      </c>
      <c r="S13">
        <v>0.16927083333333334</v>
      </c>
      <c r="T13">
        <v>0</v>
      </c>
      <c r="U13">
        <v>0.16927083333333334</v>
      </c>
    </row>
    <row r="14" spans="1:21" x14ac:dyDescent="0.35">
      <c r="A14" s="24">
        <v>45962</v>
      </c>
      <c r="B14" s="1" t="s">
        <v>55</v>
      </c>
      <c r="C14">
        <v>475</v>
      </c>
      <c r="D14">
        <v>0</v>
      </c>
      <c r="E14">
        <v>475</v>
      </c>
      <c r="F14">
        <v>218</v>
      </c>
      <c r="G14">
        <v>65</v>
      </c>
      <c r="H14">
        <v>0</v>
      </c>
      <c r="I14">
        <v>65</v>
      </c>
      <c r="J14">
        <v>8</v>
      </c>
      <c r="K14">
        <v>0</v>
      </c>
      <c r="L14">
        <v>8</v>
      </c>
      <c r="M14">
        <v>2</v>
      </c>
      <c r="N14">
        <v>0</v>
      </c>
      <c r="O14">
        <v>2</v>
      </c>
      <c r="P14">
        <v>0</v>
      </c>
      <c r="Q14">
        <v>0</v>
      </c>
      <c r="R14">
        <v>0</v>
      </c>
      <c r="S14">
        <v>0.15789473684210525</v>
      </c>
      <c r="T14">
        <v>0</v>
      </c>
      <c r="U14">
        <v>0.15789473684210525</v>
      </c>
    </row>
    <row r="15" spans="1:21" x14ac:dyDescent="0.35">
      <c r="A15" s="24">
        <v>45992</v>
      </c>
      <c r="B15" s="1" t="s">
        <v>21</v>
      </c>
      <c r="C15">
        <v>300</v>
      </c>
      <c r="D15">
        <v>0</v>
      </c>
      <c r="E15">
        <v>300</v>
      </c>
      <c r="F15">
        <v>109</v>
      </c>
      <c r="G15">
        <v>36</v>
      </c>
      <c r="H15">
        <v>0</v>
      </c>
      <c r="I15">
        <v>36</v>
      </c>
      <c r="J15">
        <v>4</v>
      </c>
      <c r="K15">
        <v>0</v>
      </c>
      <c r="L15">
        <v>4</v>
      </c>
      <c r="M15">
        <v>0</v>
      </c>
      <c r="N15">
        <v>0</v>
      </c>
      <c r="O15">
        <v>0</v>
      </c>
      <c r="P15">
        <v>0</v>
      </c>
      <c r="Q15">
        <v>0</v>
      </c>
      <c r="R15">
        <v>0</v>
      </c>
      <c r="S15">
        <v>0.13333333333333333</v>
      </c>
      <c r="T15">
        <v>0</v>
      </c>
      <c r="U15">
        <v>0.13333333333333333</v>
      </c>
    </row>
    <row r="16" spans="1:21" x14ac:dyDescent="0.35">
      <c r="A16" s="24" t="s">
        <v>603</v>
      </c>
      <c r="B16" s="1" t="s">
        <v>58</v>
      </c>
      <c r="C16">
        <v>641</v>
      </c>
      <c r="D16">
        <v>0</v>
      </c>
      <c r="E16">
        <v>641</v>
      </c>
      <c r="F16">
        <v>127</v>
      </c>
      <c r="G16">
        <v>102</v>
      </c>
      <c r="H16">
        <v>0</v>
      </c>
      <c r="I16">
        <v>102</v>
      </c>
      <c r="J16">
        <v>4</v>
      </c>
      <c r="K16">
        <v>0</v>
      </c>
      <c r="L16">
        <v>4</v>
      </c>
      <c r="M16">
        <v>1</v>
      </c>
      <c r="N16">
        <v>0</v>
      </c>
      <c r="O16">
        <v>1</v>
      </c>
      <c r="P16">
        <v>0</v>
      </c>
      <c r="Q16">
        <v>0</v>
      </c>
      <c r="R16">
        <v>0</v>
      </c>
      <c r="S16">
        <v>0.1669266770670827</v>
      </c>
      <c r="T16">
        <v>0</v>
      </c>
      <c r="U16">
        <v>0.1669266770670827</v>
      </c>
    </row>
    <row r="17" spans="1:21" x14ac:dyDescent="0.35">
      <c r="A17" s="24" t="s">
        <v>604</v>
      </c>
      <c r="B17" s="1" t="s">
        <v>66</v>
      </c>
      <c r="C17">
        <v>218</v>
      </c>
      <c r="D17">
        <v>0</v>
      </c>
      <c r="E17">
        <v>218</v>
      </c>
      <c r="F17">
        <v>96</v>
      </c>
      <c r="G17">
        <v>27</v>
      </c>
      <c r="H17">
        <v>0</v>
      </c>
      <c r="I17">
        <v>27</v>
      </c>
      <c r="J17">
        <v>3</v>
      </c>
      <c r="K17">
        <v>0</v>
      </c>
      <c r="L17">
        <v>3</v>
      </c>
      <c r="M17">
        <v>0</v>
      </c>
      <c r="N17">
        <v>0</v>
      </c>
      <c r="O17">
        <v>0</v>
      </c>
      <c r="P17">
        <v>0</v>
      </c>
      <c r="Q17">
        <v>0</v>
      </c>
      <c r="R17">
        <v>0</v>
      </c>
      <c r="S17">
        <v>0.13761467889908258</v>
      </c>
      <c r="T17">
        <v>0</v>
      </c>
      <c r="U17">
        <v>0.13761467889908258</v>
      </c>
    </row>
    <row r="18" spans="1:21" x14ac:dyDescent="0.35">
      <c r="A18" s="24" t="s">
        <v>605</v>
      </c>
      <c r="B18" s="1" t="s">
        <v>20</v>
      </c>
      <c r="C18">
        <v>367</v>
      </c>
      <c r="D18">
        <v>0</v>
      </c>
      <c r="E18">
        <v>367</v>
      </c>
      <c r="F18">
        <v>93</v>
      </c>
      <c r="G18">
        <v>38</v>
      </c>
      <c r="H18">
        <v>0</v>
      </c>
      <c r="I18">
        <v>38</v>
      </c>
      <c r="J18">
        <v>1</v>
      </c>
      <c r="K18">
        <v>0</v>
      </c>
      <c r="L18">
        <v>1</v>
      </c>
      <c r="M18">
        <v>0</v>
      </c>
      <c r="N18">
        <v>0</v>
      </c>
      <c r="O18">
        <v>0</v>
      </c>
      <c r="P18">
        <v>0</v>
      </c>
      <c r="Q18">
        <v>0</v>
      </c>
      <c r="R18">
        <v>0</v>
      </c>
      <c r="S18">
        <v>0.10626702997275204</v>
      </c>
      <c r="T18">
        <v>0</v>
      </c>
      <c r="U18">
        <v>0.10626702997275204</v>
      </c>
    </row>
    <row r="19" spans="1:21" x14ac:dyDescent="0.35">
      <c r="A19" s="24" t="s">
        <v>594</v>
      </c>
      <c r="B19" s="1" t="s">
        <v>51</v>
      </c>
      <c r="C19">
        <v>549</v>
      </c>
      <c r="D19">
        <v>0</v>
      </c>
      <c r="E19">
        <v>549</v>
      </c>
      <c r="F19">
        <v>187</v>
      </c>
      <c r="G19">
        <v>144</v>
      </c>
      <c r="H19">
        <v>0</v>
      </c>
      <c r="I19">
        <v>144</v>
      </c>
      <c r="J19">
        <v>2</v>
      </c>
      <c r="K19">
        <v>0</v>
      </c>
      <c r="L19">
        <v>2</v>
      </c>
      <c r="M19">
        <v>1</v>
      </c>
      <c r="N19">
        <v>0</v>
      </c>
      <c r="O19">
        <v>1</v>
      </c>
      <c r="P19">
        <v>0</v>
      </c>
      <c r="Q19">
        <v>0</v>
      </c>
      <c r="R19">
        <v>0</v>
      </c>
      <c r="S19">
        <v>0.26775956284153007</v>
      </c>
      <c r="T19">
        <v>0</v>
      </c>
      <c r="U19">
        <v>0.26775956284153007</v>
      </c>
    </row>
    <row r="20" spans="1:21" x14ac:dyDescent="0.35">
      <c r="A20" s="24" t="s">
        <v>595</v>
      </c>
      <c r="B20" s="1" t="s">
        <v>18</v>
      </c>
      <c r="C20">
        <v>2479</v>
      </c>
      <c r="D20">
        <v>0</v>
      </c>
      <c r="E20">
        <v>2479</v>
      </c>
      <c r="F20">
        <v>1038</v>
      </c>
      <c r="G20">
        <v>387</v>
      </c>
      <c r="H20">
        <v>0</v>
      </c>
      <c r="I20">
        <v>387</v>
      </c>
      <c r="J20">
        <v>44</v>
      </c>
      <c r="K20">
        <v>0</v>
      </c>
      <c r="L20">
        <v>44</v>
      </c>
      <c r="M20">
        <v>18</v>
      </c>
      <c r="N20">
        <v>0</v>
      </c>
      <c r="O20">
        <v>18</v>
      </c>
      <c r="P20">
        <v>0</v>
      </c>
      <c r="Q20">
        <v>0</v>
      </c>
      <c r="R20">
        <v>0</v>
      </c>
      <c r="S20">
        <v>0.18112141992739009</v>
      </c>
      <c r="T20">
        <v>0</v>
      </c>
      <c r="U20">
        <v>0.18112141992739009</v>
      </c>
    </row>
    <row r="21" spans="1:21" x14ac:dyDescent="0.35">
      <c r="A21" s="24" t="s">
        <v>606</v>
      </c>
      <c r="B21" s="1" t="s">
        <v>55</v>
      </c>
      <c r="C21">
        <v>1161</v>
      </c>
      <c r="D21">
        <v>0</v>
      </c>
      <c r="E21">
        <v>1161</v>
      </c>
      <c r="F21">
        <v>520</v>
      </c>
      <c r="G21">
        <v>151</v>
      </c>
      <c r="H21">
        <v>0</v>
      </c>
      <c r="I21">
        <v>151</v>
      </c>
      <c r="J21">
        <v>30</v>
      </c>
      <c r="K21">
        <v>0</v>
      </c>
      <c r="L21">
        <v>30</v>
      </c>
      <c r="M21">
        <v>13</v>
      </c>
      <c r="N21">
        <v>0</v>
      </c>
      <c r="O21">
        <v>13</v>
      </c>
      <c r="P21">
        <v>0</v>
      </c>
      <c r="Q21">
        <v>0</v>
      </c>
      <c r="R21">
        <v>0</v>
      </c>
      <c r="S21">
        <v>0.16709732988802756</v>
      </c>
      <c r="T21">
        <v>0</v>
      </c>
      <c r="U21">
        <v>0.16709732988802756</v>
      </c>
    </row>
    <row r="22" spans="1:21" x14ac:dyDescent="0.35">
      <c r="A22" s="24" t="s">
        <v>607</v>
      </c>
      <c r="B22" s="1" t="s">
        <v>21</v>
      </c>
      <c r="C22">
        <v>555</v>
      </c>
      <c r="D22">
        <v>0</v>
      </c>
      <c r="E22">
        <v>555</v>
      </c>
      <c r="F22">
        <v>282</v>
      </c>
      <c r="G22">
        <v>102</v>
      </c>
      <c r="H22">
        <v>0</v>
      </c>
      <c r="I22">
        <v>102</v>
      </c>
      <c r="J22">
        <v>10</v>
      </c>
      <c r="K22">
        <v>0</v>
      </c>
      <c r="L22">
        <v>10</v>
      </c>
      <c r="M22">
        <v>2</v>
      </c>
      <c r="N22">
        <v>0</v>
      </c>
      <c r="O22">
        <v>2</v>
      </c>
      <c r="P22">
        <v>0</v>
      </c>
      <c r="Q22">
        <v>0</v>
      </c>
      <c r="R22">
        <v>0</v>
      </c>
      <c r="S22">
        <v>0.20540540540540542</v>
      </c>
      <c r="T22">
        <v>0</v>
      </c>
      <c r="U22">
        <v>0.20540540540540542</v>
      </c>
    </row>
    <row r="23" spans="1:21" x14ac:dyDescent="0.35">
      <c r="A23" s="24" t="s">
        <v>596</v>
      </c>
      <c r="B23" s="1" t="s">
        <v>58</v>
      </c>
      <c r="C23">
        <v>1644</v>
      </c>
      <c r="D23">
        <v>0</v>
      </c>
      <c r="E23">
        <v>1644</v>
      </c>
      <c r="F23">
        <v>803</v>
      </c>
      <c r="G23">
        <v>163</v>
      </c>
      <c r="H23">
        <v>0</v>
      </c>
      <c r="I23">
        <v>163</v>
      </c>
      <c r="J23">
        <v>39</v>
      </c>
      <c r="K23">
        <v>0</v>
      </c>
      <c r="L23">
        <v>39</v>
      </c>
      <c r="M23">
        <v>8</v>
      </c>
      <c r="N23">
        <v>0</v>
      </c>
      <c r="O23">
        <v>8</v>
      </c>
      <c r="P23">
        <v>1</v>
      </c>
      <c r="Q23">
        <v>0</v>
      </c>
      <c r="R23">
        <v>1</v>
      </c>
      <c r="S23">
        <v>0.128345498783455</v>
      </c>
      <c r="T23">
        <v>0</v>
      </c>
      <c r="U23">
        <v>0.128345498783455</v>
      </c>
    </row>
    <row r="24" spans="1:21" x14ac:dyDescent="0.35">
      <c r="A24" s="24" t="s">
        <v>608</v>
      </c>
      <c r="B24" s="1" t="s">
        <v>66</v>
      </c>
      <c r="C24">
        <v>425</v>
      </c>
      <c r="D24">
        <v>0</v>
      </c>
      <c r="E24">
        <v>425</v>
      </c>
      <c r="F24">
        <v>250</v>
      </c>
      <c r="G24">
        <v>41</v>
      </c>
      <c r="H24">
        <v>0</v>
      </c>
      <c r="I24">
        <v>41</v>
      </c>
      <c r="J24">
        <v>5</v>
      </c>
      <c r="K24">
        <v>0</v>
      </c>
      <c r="L24">
        <v>5</v>
      </c>
      <c r="M24">
        <v>4</v>
      </c>
      <c r="N24">
        <v>0</v>
      </c>
      <c r="O24">
        <v>4</v>
      </c>
      <c r="P24">
        <v>0</v>
      </c>
      <c r="Q24">
        <v>0</v>
      </c>
      <c r="R24">
        <v>0</v>
      </c>
      <c r="S24">
        <v>0.11764705882352941</v>
      </c>
      <c r="T24">
        <v>0</v>
      </c>
      <c r="U24">
        <v>0.11764705882352941</v>
      </c>
    </row>
    <row r="25" spans="1:21" x14ac:dyDescent="0.35">
      <c r="A25" s="24" t="s">
        <v>28</v>
      </c>
      <c r="B25" s="1" t="s">
        <v>20</v>
      </c>
      <c r="C25">
        <v>974</v>
      </c>
      <c r="D25">
        <v>0</v>
      </c>
      <c r="E25">
        <v>974</v>
      </c>
      <c r="F25">
        <v>353</v>
      </c>
      <c r="G25">
        <v>330</v>
      </c>
      <c r="H25">
        <v>0</v>
      </c>
      <c r="I25">
        <v>330</v>
      </c>
      <c r="J25">
        <v>8</v>
      </c>
      <c r="K25">
        <v>0</v>
      </c>
      <c r="L25">
        <v>8</v>
      </c>
      <c r="M25">
        <v>2</v>
      </c>
      <c r="N25">
        <v>0</v>
      </c>
      <c r="O25">
        <v>2</v>
      </c>
      <c r="P25">
        <v>0</v>
      </c>
      <c r="Q25">
        <v>0</v>
      </c>
      <c r="R25">
        <v>0</v>
      </c>
      <c r="S25">
        <v>0.34907597535934293</v>
      </c>
      <c r="T25">
        <v>0</v>
      </c>
      <c r="U25">
        <v>0.34907597535934293</v>
      </c>
    </row>
    <row r="26" spans="1:21" x14ac:dyDescent="0.35">
      <c r="A26" s="24" t="s">
        <v>609</v>
      </c>
      <c r="B26" s="1" t="s">
        <v>51</v>
      </c>
      <c r="C26">
        <v>110</v>
      </c>
      <c r="D26">
        <v>0</v>
      </c>
      <c r="E26">
        <v>110</v>
      </c>
      <c r="F26">
        <v>55</v>
      </c>
      <c r="G26">
        <v>11</v>
      </c>
      <c r="H26">
        <v>0</v>
      </c>
      <c r="I26">
        <v>11</v>
      </c>
      <c r="J26">
        <v>4</v>
      </c>
      <c r="K26">
        <v>0</v>
      </c>
      <c r="L26">
        <v>4</v>
      </c>
      <c r="M26">
        <v>2</v>
      </c>
      <c r="N26">
        <v>0</v>
      </c>
      <c r="O26">
        <v>2</v>
      </c>
      <c r="P26">
        <v>0</v>
      </c>
      <c r="Q26">
        <v>0</v>
      </c>
      <c r="R26">
        <v>0</v>
      </c>
      <c r="S26">
        <v>0.15454545454545454</v>
      </c>
      <c r="T26">
        <v>0</v>
      </c>
      <c r="U26">
        <v>0.15454545454545454</v>
      </c>
    </row>
    <row r="27" spans="1:21" x14ac:dyDescent="0.35">
      <c r="A27" s="24" t="s">
        <v>37</v>
      </c>
      <c r="B27" s="1" t="s">
        <v>18</v>
      </c>
      <c r="C27">
        <v>209</v>
      </c>
      <c r="D27">
        <v>0</v>
      </c>
      <c r="E27">
        <v>209</v>
      </c>
      <c r="F27">
        <v>82</v>
      </c>
      <c r="G27">
        <v>32</v>
      </c>
      <c r="H27">
        <v>0</v>
      </c>
      <c r="I27">
        <v>32</v>
      </c>
      <c r="J27">
        <v>3</v>
      </c>
      <c r="K27">
        <v>0</v>
      </c>
      <c r="L27">
        <v>3</v>
      </c>
      <c r="M27">
        <v>0</v>
      </c>
      <c r="N27">
        <v>0</v>
      </c>
      <c r="O27">
        <v>0</v>
      </c>
      <c r="P27">
        <v>0</v>
      </c>
      <c r="Q27">
        <v>0</v>
      </c>
      <c r="R27">
        <v>0</v>
      </c>
      <c r="S27">
        <v>0.1674641148325359</v>
      </c>
      <c r="T27">
        <v>0</v>
      </c>
      <c r="U27">
        <v>0.1674641148325359</v>
      </c>
    </row>
    <row r="28" spans="1:21" x14ac:dyDescent="0.35">
      <c r="A28" s="24" t="s">
        <v>610</v>
      </c>
      <c r="B28" s="1" t="s">
        <v>55</v>
      </c>
      <c r="C28">
        <v>123</v>
      </c>
      <c r="D28">
        <v>0</v>
      </c>
      <c r="E28">
        <v>123</v>
      </c>
      <c r="F28">
        <v>76</v>
      </c>
      <c r="G28">
        <v>2</v>
      </c>
      <c r="H28">
        <v>0</v>
      </c>
      <c r="I28">
        <v>2</v>
      </c>
      <c r="J28">
        <v>10</v>
      </c>
      <c r="K28">
        <v>0</v>
      </c>
      <c r="L28">
        <v>10</v>
      </c>
      <c r="M28">
        <v>2</v>
      </c>
      <c r="N28">
        <v>0</v>
      </c>
      <c r="O28">
        <v>2</v>
      </c>
      <c r="P28">
        <v>0</v>
      </c>
      <c r="Q28">
        <v>0</v>
      </c>
      <c r="R28">
        <v>0</v>
      </c>
      <c r="S28">
        <v>0.11382113821138211</v>
      </c>
      <c r="T28">
        <v>0</v>
      </c>
      <c r="U28">
        <v>0.11382113821138211</v>
      </c>
    </row>
    <row r="29" spans="1:21" x14ac:dyDescent="0.35">
      <c r="A29" s="24" t="s">
        <v>611</v>
      </c>
      <c r="B29" s="1" t="s">
        <v>21</v>
      </c>
      <c r="C29">
        <v>219</v>
      </c>
      <c r="D29">
        <v>0</v>
      </c>
      <c r="E29">
        <v>219</v>
      </c>
      <c r="F29">
        <v>75</v>
      </c>
      <c r="G29">
        <v>52</v>
      </c>
      <c r="H29">
        <v>0</v>
      </c>
      <c r="I29">
        <v>52</v>
      </c>
      <c r="J29">
        <v>4</v>
      </c>
      <c r="K29">
        <v>0</v>
      </c>
      <c r="L29">
        <v>4</v>
      </c>
      <c r="M29">
        <v>0</v>
      </c>
      <c r="N29">
        <v>0</v>
      </c>
      <c r="O29">
        <v>0</v>
      </c>
      <c r="P29">
        <v>0</v>
      </c>
      <c r="Q29">
        <v>0</v>
      </c>
      <c r="R29">
        <v>0</v>
      </c>
      <c r="S29">
        <v>0.25570776255707761</v>
      </c>
      <c r="T29">
        <v>0</v>
      </c>
      <c r="U29">
        <v>0.25570776255707761</v>
      </c>
    </row>
    <row r="30" spans="1:21" x14ac:dyDescent="0.35">
      <c r="A30" s="24" t="s">
        <v>612</v>
      </c>
      <c r="B30" s="1" t="s">
        <v>58</v>
      </c>
      <c r="C30">
        <v>308</v>
      </c>
      <c r="D30">
        <v>0</v>
      </c>
      <c r="E30">
        <v>308</v>
      </c>
      <c r="F30">
        <v>92</v>
      </c>
      <c r="G30">
        <v>65</v>
      </c>
      <c r="H30">
        <v>0</v>
      </c>
      <c r="I30">
        <v>65</v>
      </c>
      <c r="J30">
        <v>3</v>
      </c>
      <c r="K30">
        <v>0</v>
      </c>
      <c r="L30">
        <v>3</v>
      </c>
      <c r="M30">
        <v>2</v>
      </c>
      <c r="N30">
        <v>0</v>
      </c>
      <c r="O30">
        <v>2</v>
      </c>
      <c r="P30">
        <v>0</v>
      </c>
      <c r="Q30">
        <v>0</v>
      </c>
      <c r="R30">
        <v>0</v>
      </c>
      <c r="S30">
        <v>0.22727272727272727</v>
      </c>
      <c r="T30">
        <v>0</v>
      </c>
      <c r="U30">
        <v>0.22727272727272727</v>
      </c>
    </row>
    <row r="31" spans="1:21" x14ac:dyDescent="0.35">
      <c r="A31" s="24" t="s">
        <v>597</v>
      </c>
      <c r="B31" s="1" t="s">
        <v>66</v>
      </c>
      <c r="C31">
        <v>2513</v>
      </c>
      <c r="D31">
        <v>0</v>
      </c>
      <c r="E31">
        <v>2513</v>
      </c>
      <c r="F31">
        <v>1310</v>
      </c>
      <c r="G31">
        <v>47</v>
      </c>
      <c r="H31">
        <v>0</v>
      </c>
      <c r="I31">
        <v>47</v>
      </c>
      <c r="J31">
        <v>19</v>
      </c>
      <c r="K31">
        <v>0</v>
      </c>
      <c r="L31">
        <v>19</v>
      </c>
      <c r="M31">
        <v>1</v>
      </c>
      <c r="N31">
        <v>0</v>
      </c>
      <c r="O31">
        <v>1</v>
      </c>
      <c r="P31">
        <v>1</v>
      </c>
      <c r="Q31">
        <v>0</v>
      </c>
      <c r="R31">
        <v>1</v>
      </c>
      <c r="S31">
        <v>2.7059291683247114E-2</v>
      </c>
      <c r="T31">
        <v>0</v>
      </c>
      <c r="U31">
        <v>2.7059291683247114E-2</v>
      </c>
    </row>
    <row r="32" spans="1:21" x14ac:dyDescent="0.35">
      <c r="A32" s="24" t="s">
        <v>613</v>
      </c>
      <c r="B32" s="1" t="s">
        <v>20</v>
      </c>
      <c r="C32">
        <v>1090</v>
      </c>
      <c r="D32">
        <v>0</v>
      </c>
      <c r="E32">
        <v>1090</v>
      </c>
      <c r="F32">
        <v>552</v>
      </c>
      <c r="G32">
        <v>75</v>
      </c>
      <c r="H32">
        <v>0</v>
      </c>
      <c r="I32">
        <v>75</v>
      </c>
      <c r="J32">
        <v>12</v>
      </c>
      <c r="K32">
        <v>0</v>
      </c>
      <c r="L32">
        <v>12</v>
      </c>
      <c r="M32">
        <v>2</v>
      </c>
      <c r="N32">
        <v>0</v>
      </c>
      <c r="O32">
        <v>2</v>
      </c>
      <c r="P32">
        <v>0</v>
      </c>
      <c r="Q32">
        <v>0</v>
      </c>
      <c r="R32">
        <v>0</v>
      </c>
      <c r="S32">
        <v>8.1651376146788995E-2</v>
      </c>
      <c r="T32">
        <v>0</v>
      </c>
      <c r="U32">
        <v>8.1651376146788995E-2</v>
      </c>
    </row>
    <row r="33" spans="1:21" x14ac:dyDescent="0.35">
      <c r="A33" s="24" t="s">
        <v>614</v>
      </c>
      <c r="B33" s="1" t="s">
        <v>51</v>
      </c>
      <c r="C33">
        <v>325</v>
      </c>
      <c r="D33">
        <v>0</v>
      </c>
      <c r="E33">
        <v>325</v>
      </c>
      <c r="F33">
        <v>192</v>
      </c>
      <c r="G33">
        <v>17</v>
      </c>
      <c r="H33">
        <v>0</v>
      </c>
      <c r="I33">
        <v>17</v>
      </c>
      <c r="J33">
        <v>3</v>
      </c>
      <c r="K33">
        <v>0</v>
      </c>
      <c r="L33">
        <v>3</v>
      </c>
      <c r="M33">
        <v>2</v>
      </c>
      <c r="N33">
        <v>0</v>
      </c>
      <c r="O33">
        <v>2</v>
      </c>
      <c r="P33">
        <v>0</v>
      </c>
      <c r="Q33">
        <v>0</v>
      </c>
      <c r="R33">
        <v>0</v>
      </c>
      <c r="S33">
        <v>6.7692307692307691E-2</v>
      </c>
      <c r="T33">
        <v>0</v>
      </c>
      <c r="U33">
        <v>6.7692307692307691E-2</v>
      </c>
    </row>
    <row r="34" spans="1:21" x14ac:dyDescent="0.35">
      <c r="A34" s="24" t="s">
        <v>598</v>
      </c>
      <c r="B34" s="1" t="s">
        <v>18</v>
      </c>
      <c r="C34">
        <v>662</v>
      </c>
      <c r="D34">
        <v>0</v>
      </c>
      <c r="E34">
        <v>662</v>
      </c>
      <c r="F34">
        <v>288</v>
      </c>
      <c r="G34">
        <v>82</v>
      </c>
      <c r="H34">
        <v>0</v>
      </c>
      <c r="I34">
        <v>82</v>
      </c>
      <c r="J34">
        <v>9</v>
      </c>
      <c r="K34">
        <v>0</v>
      </c>
      <c r="L34">
        <v>9</v>
      </c>
      <c r="M34">
        <v>0</v>
      </c>
      <c r="N34">
        <v>0</v>
      </c>
      <c r="O34">
        <v>0</v>
      </c>
      <c r="P34">
        <v>0</v>
      </c>
      <c r="Q34">
        <v>0</v>
      </c>
      <c r="R34">
        <v>0</v>
      </c>
      <c r="S34">
        <v>0.13746223564954682</v>
      </c>
      <c r="T34">
        <v>0</v>
      </c>
      <c r="U34">
        <v>0.13746223564954682</v>
      </c>
    </row>
    <row r="35" spans="1:21" x14ac:dyDescent="0.35">
      <c r="A35" s="24">
        <v>45659</v>
      </c>
      <c r="B35" s="1" t="s">
        <v>55</v>
      </c>
      <c r="C35">
        <v>301</v>
      </c>
      <c r="D35">
        <v>0</v>
      </c>
      <c r="E35">
        <v>301</v>
      </c>
      <c r="F35">
        <v>136</v>
      </c>
      <c r="G35">
        <v>47</v>
      </c>
      <c r="H35">
        <v>0</v>
      </c>
      <c r="I35">
        <v>47</v>
      </c>
      <c r="J35">
        <v>3</v>
      </c>
      <c r="K35">
        <v>0</v>
      </c>
      <c r="L35">
        <v>3</v>
      </c>
      <c r="M35">
        <v>0</v>
      </c>
      <c r="N35">
        <v>0</v>
      </c>
      <c r="O35">
        <v>0</v>
      </c>
      <c r="P35">
        <v>0</v>
      </c>
      <c r="Q35">
        <v>0</v>
      </c>
      <c r="R35">
        <v>0</v>
      </c>
      <c r="S35">
        <v>0.16611295681063123</v>
      </c>
      <c r="T35">
        <v>0</v>
      </c>
      <c r="U35">
        <v>0.16611295681063123</v>
      </c>
    </row>
    <row r="36" spans="1:21" x14ac:dyDescent="0.35">
      <c r="A36" s="24">
        <v>45690</v>
      </c>
      <c r="B36" s="1" t="s">
        <v>21</v>
      </c>
      <c r="C36">
        <v>335</v>
      </c>
      <c r="D36">
        <v>0</v>
      </c>
      <c r="E36">
        <v>335</v>
      </c>
      <c r="F36">
        <v>150</v>
      </c>
      <c r="G36">
        <v>52</v>
      </c>
      <c r="H36">
        <v>0</v>
      </c>
      <c r="I36">
        <v>52</v>
      </c>
      <c r="J36">
        <v>3</v>
      </c>
      <c r="K36">
        <v>0</v>
      </c>
      <c r="L36">
        <v>3</v>
      </c>
      <c r="M36">
        <v>0</v>
      </c>
      <c r="N36">
        <v>0</v>
      </c>
      <c r="O36">
        <v>0</v>
      </c>
      <c r="P36">
        <v>0</v>
      </c>
      <c r="Q36">
        <v>0</v>
      </c>
      <c r="R36">
        <v>0</v>
      </c>
      <c r="S36">
        <v>0.16417910447761194</v>
      </c>
      <c r="T36">
        <v>0</v>
      </c>
      <c r="U36">
        <v>0.16417910447761194</v>
      </c>
    </row>
    <row r="37" spans="1:21" x14ac:dyDescent="0.35">
      <c r="A37" s="24">
        <v>45718</v>
      </c>
      <c r="B37" s="1" t="s">
        <v>58</v>
      </c>
      <c r="C37">
        <v>477</v>
      </c>
      <c r="D37">
        <v>0</v>
      </c>
      <c r="E37">
        <v>477</v>
      </c>
      <c r="F37">
        <v>136</v>
      </c>
      <c r="G37">
        <v>88</v>
      </c>
      <c r="H37">
        <v>0</v>
      </c>
      <c r="I37">
        <v>88</v>
      </c>
      <c r="J37">
        <v>6</v>
      </c>
      <c r="K37">
        <v>0</v>
      </c>
      <c r="L37">
        <v>6</v>
      </c>
      <c r="M37">
        <v>0</v>
      </c>
      <c r="N37">
        <v>0</v>
      </c>
      <c r="O37">
        <v>0</v>
      </c>
      <c r="P37">
        <v>0</v>
      </c>
      <c r="Q37">
        <v>0</v>
      </c>
      <c r="R37">
        <v>0</v>
      </c>
      <c r="S37">
        <v>0.1970649895178197</v>
      </c>
      <c r="T37">
        <v>0</v>
      </c>
      <c r="U37">
        <v>0.1970649895178197</v>
      </c>
    </row>
    <row r="38" spans="1:21" x14ac:dyDescent="0.35">
      <c r="A38" s="24">
        <v>45749</v>
      </c>
      <c r="B38" s="1" t="s">
        <v>66</v>
      </c>
      <c r="C38">
        <v>413</v>
      </c>
      <c r="D38">
        <v>0</v>
      </c>
      <c r="E38">
        <v>413</v>
      </c>
      <c r="F38">
        <v>117</v>
      </c>
      <c r="G38">
        <v>98</v>
      </c>
      <c r="H38">
        <v>0</v>
      </c>
      <c r="I38">
        <v>98</v>
      </c>
      <c r="J38">
        <v>3</v>
      </c>
      <c r="K38">
        <v>0</v>
      </c>
      <c r="L38">
        <v>3</v>
      </c>
      <c r="M38">
        <v>0</v>
      </c>
      <c r="N38">
        <v>0</v>
      </c>
      <c r="O38">
        <v>0</v>
      </c>
      <c r="P38">
        <v>0</v>
      </c>
      <c r="Q38">
        <v>0</v>
      </c>
      <c r="R38">
        <v>0</v>
      </c>
      <c r="S38">
        <v>0.24455205811138014</v>
      </c>
      <c r="T38">
        <v>0</v>
      </c>
      <c r="U38">
        <v>0.24455205811138014</v>
      </c>
    </row>
    <row r="39" spans="1:21" x14ac:dyDescent="0.35">
      <c r="A39" s="24">
        <v>45779</v>
      </c>
      <c r="B39" s="1" t="s">
        <v>20</v>
      </c>
      <c r="C39">
        <v>415</v>
      </c>
      <c r="D39">
        <v>0</v>
      </c>
      <c r="E39">
        <v>415</v>
      </c>
      <c r="F39">
        <v>99</v>
      </c>
      <c r="G39">
        <v>88</v>
      </c>
      <c r="H39">
        <v>0</v>
      </c>
      <c r="I39">
        <v>88</v>
      </c>
      <c r="J39">
        <v>0</v>
      </c>
      <c r="K39">
        <v>0</v>
      </c>
      <c r="L39">
        <v>0</v>
      </c>
      <c r="M39">
        <v>0</v>
      </c>
      <c r="N39">
        <v>0</v>
      </c>
      <c r="O39">
        <v>0</v>
      </c>
      <c r="P39">
        <v>0</v>
      </c>
      <c r="Q39">
        <v>0</v>
      </c>
      <c r="R39">
        <v>0</v>
      </c>
      <c r="S39">
        <v>0.21204819277108433</v>
      </c>
      <c r="T39">
        <v>0</v>
      </c>
      <c r="U39">
        <v>0.21204819277108433</v>
      </c>
    </row>
    <row r="40" spans="1:21" x14ac:dyDescent="0.35">
      <c r="A40" s="24">
        <v>45810</v>
      </c>
      <c r="B40" s="1" t="s">
        <v>51</v>
      </c>
      <c r="C40">
        <v>563</v>
      </c>
      <c r="D40">
        <v>0</v>
      </c>
      <c r="E40">
        <v>563</v>
      </c>
      <c r="F40">
        <v>177</v>
      </c>
      <c r="G40">
        <v>88</v>
      </c>
      <c r="H40">
        <v>0</v>
      </c>
      <c r="I40">
        <v>88</v>
      </c>
      <c r="J40">
        <v>0</v>
      </c>
      <c r="K40">
        <v>0</v>
      </c>
      <c r="L40">
        <v>0</v>
      </c>
      <c r="M40">
        <v>0</v>
      </c>
      <c r="N40">
        <v>0</v>
      </c>
      <c r="O40">
        <v>0</v>
      </c>
      <c r="P40">
        <v>0</v>
      </c>
      <c r="Q40">
        <v>0</v>
      </c>
      <c r="R40">
        <v>0</v>
      </c>
      <c r="S40">
        <v>0.15630550621669628</v>
      </c>
      <c r="T40">
        <v>0</v>
      </c>
      <c r="U40">
        <v>0.15630550621669628</v>
      </c>
    </row>
    <row r="41" spans="1:21" x14ac:dyDescent="0.35">
      <c r="A41" s="24">
        <v>45840</v>
      </c>
      <c r="B41" s="1" t="s">
        <v>18</v>
      </c>
      <c r="C41">
        <v>1048</v>
      </c>
      <c r="D41">
        <v>0</v>
      </c>
      <c r="E41">
        <v>1048</v>
      </c>
      <c r="F41">
        <v>408</v>
      </c>
      <c r="G41">
        <v>141</v>
      </c>
      <c r="H41">
        <v>0</v>
      </c>
      <c r="I41">
        <v>141</v>
      </c>
      <c r="J41">
        <v>21</v>
      </c>
      <c r="K41">
        <v>0</v>
      </c>
      <c r="L41">
        <v>21</v>
      </c>
      <c r="M41">
        <v>0</v>
      </c>
      <c r="N41">
        <v>0</v>
      </c>
      <c r="O41">
        <v>0</v>
      </c>
      <c r="P41">
        <v>0</v>
      </c>
      <c r="Q41">
        <v>0</v>
      </c>
      <c r="R41">
        <v>0</v>
      </c>
      <c r="S41">
        <v>0.15458015267175573</v>
      </c>
      <c r="T41">
        <v>0</v>
      </c>
      <c r="U41">
        <v>0.15458015267175573</v>
      </c>
    </row>
    <row r="42" spans="1:21" x14ac:dyDescent="0.35">
      <c r="A42" s="24">
        <v>45871</v>
      </c>
      <c r="B42" s="1" t="s">
        <v>55</v>
      </c>
      <c r="C42">
        <v>638</v>
      </c>
      <c r="D42">
        <v>0</v>
      </c>
      <c r="E42">
        <v>638</v>
      </c>
      <c r="F42">
        <v>284</v>
      </c>
      <c r="G42">
        <v>86</v>
      </c>
      <c r="H42">
        <v>0</v>
      </c>
      <c r="I42">
        <v>86</v>
      </c>
      <c r="J42">
        <v>9</v>
      </c>
      <c r="K42">
        <v>0</v>
      </c>
      <c r="L42">
        <v>9</v>
      </c>
      <c r="M42">
        <v>2</v>
      </c>
      <c r="N42">
        <v>0</v>
      </c>
      <c r="O42">
        <v>2</v>
      </c>
      <c r="P42">
        <v>0</v>
      </c>
      <c r="Q42">
        <v>0</v>
      </c>
      <c r="R42">
        <v>0</v>
      </c>
      <c r="S42">
        <v>0.15203761755485892</v>
      </c>
      <c r="T42">
        <v>0</v>
      </c>
      <c r="U42">
        <v>0.15203761755485892</v>
      </c>
    </row>
    <row r="43" spans="1:21" x14ac:dyDescent="0.35">
      <c r="A43" s="24">
        <v>45902</v>
      </c>
      <c r="B43" s="1" t="s">
        <v>21</v>
      </c>
      <c r="C43">
        <v>315</v>
      </c>
      <c r="D43">
        <v>0</v>
      </c>
      <c r="E43">
        <v>315</v>
      </c>
      <c r="F43">
        <v>159</v>
      </c>
      <c r="G43">
        <v>45</v>
      </c>
      <c r="H43">
        <v>0</v>
      </c>
      <c r="I43">
        <v>45</v>
      </c>
      <c r="J43">
        <v>6</v>
      </c>
      <c r="K43">
        <v>0</v>
      </c>
      <c r="L43">
        <v>6</v>
      </c>
      <c r="M43">
        <v>0</v>
      </c>
      <c r="N43">
        <v>0</v>
      </c>
      <c r="O43">
        <v>0</v>
      </c>
      <c r="P43">
        <v>0</v>
      </c>
      <c r="Q43">
        <v>0</v>
      </c>
      <c r="R43">
        <v>0</v>
      </c>
      <c r="S43">
        <v>0.16190476190476191</v>
      </c>
      <c r="T43">
        <v>0</v>
      </c>
      <c r="U43">
        <v>0.16190476190476191</v>
      </c>
    </row>
    <row r="44" spans="1:21" x14ac:dyDescent="0.35">
      <c r="A44" s="24">
        <v>45932</v>
      </c>
      <c r="B44" s="1" t="s">
        <v>58</v>
      </c>
      <c r="C44">
        <v>549</v>
      </c>
      <c r="D44">
        <v>0</v>
      </c>
      <c r="E44">
        <v>549</v>
      </c>
      <c r="F44">
        <v>234</v>
      </c>
      <c r="G44">
        <v>52</v>
      </c>
      <c r="H44">
        <v>0</v>
      </c>
      <c r="I44">
        <v>52</v>
      </c>
      <c r="J44">
        <v>7</v>
      </c>
      <c r="K44">
        <v>0</v>
      </c>
      <c r="L44">
        <v>7</v>
      </c>
      <c r="M44">
        <v>3</v>
      </c>
      <c r="N44">
        <v>0</v>
      </c>
      <c r="O44">
        <v>3</v>
      </c>
      <c r="P44">
        <v>1</v>
      </c>
      <c r="Q44">
        <v>0</v>
      </c>
      <c r="R44">
        <v>1</v>
      </c>
      <c r="S44">
        <v>0.11475409836065574</v>
      </c>
      <c r="T44">
        <v>0</v>
      </c>
      <c r="U44">
        <v>0.11475409836065574</v>
      </c>
    </row>
    <row r="45" spans="1:21" x14ac:dyDescent="0.35">
      <c r="A45" s="24">
        <v>45963</v>
      </c>
      <c r="B45" s="1" t="s">
        <v>66</v>
      </c>
      <c r="C45">
        <v>241</v>
      </c>
      <c r="D45">
        <v>0</v>
      </c>
      <c r="E45">
        <v>241</v>
      </c>
      <c r="F45">
        <v>134</v>
      </c>
      <c r="G45">
        <v>14</v>
      </c>
      <c r="H45">
        <v>0</v>
      </c>
      <c r="I45">
        <v>14</v>
      </c>
      <c r="J45">
        <v>2</v>
      </c>
      <c r="K45">
        <v>0</v>
      </c>
      <c r="L45">
        <v>2</v>
      </c>
      <c r="M45">
        <v>1</v>
      </c>
      <c r="N45">
        <v>0</v>
      </c>
      <c r="O45">
        <v>1</v>
      </c>
      <c r="P45">
        <v>0</v>
      </c>
      <c r="Q45">
        <v>0</v>
      </c>
      <c r="R45">
        <v>0</v>
      </c>
      <c r="S45">
        <v>7.0539419087136929E-2</v>
      </c>
      <c r="T45">
        <v>0</v>
      </c>
      <c r="U45">
        <v>7.0539419087136929E-2</v>
      </c>
    </row>
    <row r="46" spans="1:21" x14ac:dyDescent="0.35">
      <c r="A46" s="24">
        <v>45993</v>
      </c>
      <c r="B46" s="1" t="s">
        <v>20</v>
      </c>
      <c r="C46">
        <v>603</v>
      </c>
      <c r="D46">
        <v>0</v>
      </c>
      <c r="E46">
        <v>603</v>
      </c>
      <c r="F46">
        <v>164</v>
      </c>
      <c r="G46">
        <v>55</v>
      </c>
      <c r="H46">
        <v>0</v>
      </c>
      <c r="I46">
        <v>55</v>
      </c>
      <c r="J46">
        <v>2</v>
      </c>
      <c r="K46">
        <v>0</v>
      </c>
      <c r="L46">
        <v>2</v>
      </c>
      <c r="M46">
        <v>1</v>
      </c>
      <c r="N46">
        <v>0</v>
      </c>
      <c r="O46">
        <v>1</v>
      </c>
      <c r="P46">
        <v>0</v>
      </c>
      <c r="Q46">
        <v>0</v>
      </c>
      <c r="R46">
        <v>0</v>
      </c>
      <c r="S46">
        <v>9.6185737976782759E-2</v>
      </c>
      <c r="T46">
        <v>0</v>
      </c>
      <c r="U46">
        <v>9.6185737976782759E-2</v>
      </c>
    </row>
    <row r="47" spans="1:21" x14ac:dyDescent="0.35">
      <c r="A47" s="24" t="s">
        <v>50</v>
      </c>
      <c r="B47" s="1" t="s">
        <v>51</v>
      </c>
      <c r="C47">
        <v>458</v>
      </c>
      <c r="D47">
        <v>0</v>
      </c>
      <c r="E47">
        <v>458</v>
      </c>
      <c r="F47">
        <v>191</v>
      </c>
      <c r="G47">
        <v>30</v>
      </c>
      <c r="H47">
        <v>0</v>
      </c>
      <c r="I47">
        <v>30</v>
      </c>
      <c r="J47">
        <v>4</v>
      </c>
      <c r="K47">
        <v>0</v>
      </c>
      <c r="L47">
        <v>4</v>
      </c>
      <c r="M47">
        <v>0</v>
      </c>
      <c r="N47">
        <v>0</v>
      </c>
      <c r="O47">
        <v>0</v>
      </c>
      <c r="P47">
        <v>0</v>
      </c>
      <c r="Q47">
        <v>0</v>
      </c>
      <c r="R47">
        <v>0</v>
      </c>
      <c r="S47">
        <v>7.4235807860262015E-2</v>
      </c>
      <c r="T47">
        <v>0</v>
      </c>
      <c r="U47">
        <v>7.4235807860262015E-2</v>
      </c>
    </row>
    <row r="48" spans="1:21" x14ac:dyDescent="0.35">
      <c r="A48" s="24" t="s">
        <v>615</v>
      </c>
      <c r="B48" s="1" t="s">
        <v>18</v>
      </c>
      <c r="C48">
        <v>298</v>
      </c>
      <c r="D48">
        <v>0</v>
      </c>
      <c r="E48">
        <v>298</v>
      </c>
      <c r="F48">
        <v>128</v>
      </c>
      <c r="G48">
        <v>11</v>
      </c>
      <c r="H48">
        <v>0</v>
      </c>
      <c r="I48">
        <v>11</v>
      </c>
      <c r="J48">
        <v>1</v>
      </c>
      <c r="K48">
        <v>0</v>
      </c>
      <c r="L48">
        <v>1</v>
      </c>
      <c r="M48">
        <v>0</v>
      </c>
      <c r="N48">
        <v>0</v>
      </c>
      <c r="O48">
        <v>0</v>
      </c>
      <c r="P48">
        <v>0</v>
      </c>
      <c r="Q48">
        <v>0</v>
      </c>
      <c r="R48">
        <v>0</v>
      </c>
      <c r="S48">
        <v>4.0268456375838924E-2</v>
      </c>
      <c r="T48">
        <v>0</v>
      </c>
      <c r="U48">
        <v>4.0268456375838924E-2</v>
      </c>
    </row>
    <row r="49" spans="1:21" x14ac:dyDescent="0.35">
      <c r="A49" s="24" t="s">
        <v>616</v>
      </c>
      <c r="B49" s="1" t="s">
        <v>55</v>
      </c>
      <c r="C49">
        <v>258</v>
      </c>
      <c r="D49">
        <v>0</v>
      </c>
      <c r="E49">
        <v>258</v>
      </c>
      <c r="F49">
        <v>104</v>
      </c>
      <c r="G49">
        <v>20</v>
      </c>
      <c r="H49">
        <v>0</v>
      </c>
      <c r="I49">
        <v>20</v>
      </c>
      <c r="J49">
        <v>1</v>
      </c>
      <c r="K49">
        <v>0</v>
      </c>
      <c r="L49">
        <v>1</v>
      </c>
      <c r="M49">
        <v>0</v>
      </c>
      <c r="N49">
        <v>0</v>
      </c>
      <c r="O49">
        <v>0</v>
      </c>
      <c r="P49">
        <v>0</v>
      </c>
      <c r="Q49">
        <v>0</v>
      </c>
      <c r="R49">
        <v>0</v>
      </c>
      <c r="S49">
        <v>8.1395348837209308E-2</v>
      </c>
      <c r="T49">
        <v>0</v>
      </c>
      <c r="U49">
        <v>8.1395348837209308E-2</v>
      </c>
    </row>
    <row r="50" spans="1:21" x14ac:dyDescent="0.35">
      <c r="A50" s="24" t="s">
        <v>617</v>
      </c>
      <c r="B50" s="1" t="s">
        <v>21</v>
      </c>
      <c r="C50">
        <v>153</v>
      </c>
      <c r="D50">
        <v>0</v>
      </c>
      <c r="E50">
        <v>153</v>
      </c>
      <c r="F50">
        <v>86</v>
      </c>
      <c r="G50">
        <v>6</v>
      </c>
      <c r="H50">
        <v>0</v>
      </c>
      <c r="I50">
        <v>6</v>
      </c>
      <c r="J50">
        <v>3</v>
      </c>
      <c r="K50">
        <v>0</v>
      </c>
      <c r="L50">
        <v>3</v>
      </c>
      <c r="M50">
        <v>0</v>
      </c>
      <c r="N50">
        <v>0</v>
      </c>
      <c r="O50">
        <v>0</v>
      </c>
      <c r="P50">
        <v>0</v>
      </c>
      <c r="Q50">
        <v>0</v>
      </c>
      <c r="R50">
        <v>0</v>
      </c>
      <c r="S50">
        <v>5.8823529411764705E-2</v>
      </c>
      <c r="T50">
        <v>0</v>
      </c>
      <c r="U50">
        <v>5.8823529411764705E-2</v>
      </c>
    </row>
    <row r="51" spans="1:21" x14ac:dyDescent="0.35">
      <c r="A51" s="24" t="s">
        <v>618</v>
      </c>
      <c r="B51" s="1" t="s">
        <v>58</v>
      </c>
      <c r="C51">
        <v>179</v>
      </c>
      <c r="D51">
        <v>0</v>
      </c>
      <c r="E51">
        <v>179</v>
      </c>
      <c r="F51">
        <v>80</v>
      </c>
      <c r="G51">
        <v>11</v>
      </c>
      <c r="H51">
        <v>0</v>
      </c>
      <c r="I51">
        <v>11</v>
      </c>
      <c r="J51">
        <v>0</v>
      </c>
      <c r="K51">
        <v>0</v>
      </c>
      <c r="L51">
        <v>0</v>
      </c>
      <c r="M51">
        <v>0</v>
      </c>
      <c r="N51">
        <v>0</v>
      </c>
      <c r="O51">
        <v>0</v>
      </c>
      <c r="P51">
        <v>0</v>
      </c>
      <c r="Q51">
        <v>0</v>
      </c>
      <c r="R51">
        <v>0</v>
      </c>
      <c r="S51">
        <v>6.1452513966480445E-2</v>
      </c>
      <c r="T51">
        <v>0</v>
      </c>
      <c r="U51">
        <v>6.1452513966480445E-2</v>
      </c>
    </row>
    <row r="52" spans="1:21" x14ac:dyDescent="0.35">
      <c r="A52" s="24" t="s">
        <v>619</v>
      </c>
      <c r="B52" s="1" t="s">
        <v>66</v>
      </c>
      <c r="C52">
        <v>95</v>
      </c>
      <c r="D52">
        <v>0</v>
      </c>
      <c r="E52">
        <v>95</v>
      </c>
      <c r="F52">
        <v>54</v>
      </c>
      <c r="G52">
        <v>0</v>
      </c>
      <c r="H52">
        <v>0</v>
      </c>
      <c r="I52">
        <v>0</v>
      </c>
      <c r="J52">
        <v>0</v>
      </c>
      <c r="K52">
        <v>0</v>
      </c>
      <c r="L52">
        <v>0</v>
      </c>
      <c r="M52">
        <v>0</v>
      </c>
      <c r="N52">
        <v>0</v>
      </c>
      <c r="O52">
        <v>0</v>
      </c>
      <c r="P52">
        <v>0</v>
      </c>
      <c r="Q52">
        <v>0</v>
      </c>
      <c r="R52">
        <v>0</v>
      </c>
      <c r="S52">
        <v>0</v>
      </c>
      <c r="T52">
        <v>0</v>
      </c>
      <c r="U52">
        <v>0</v>
      </c>
    </row>
    <row r="53" spans="1:21" x14ac:dyDescent="0.35">
      <c r="A53" s="24" t="s">
        <v>620</v>
      </c>
      <c r="B53" s="1" t="s">
        <v>20</v>
      </c>
      <c r="C53">
        <v>221</v>
      </c>
      <c r="D53">
        <v>0</v>
      </c>
      <c r="E53">
        <v>221</v>
      </c>
      <c r="F53">
        <v>38</v>
      </c>
      <c r="G53">
        <v>65</v>
      </c>
      <c r="H53">
        <v>0</v>
      </c>
      <c r="I53">
        <v>65</v>
      </c>
      <c r="J53">
        <v>0</v>
      </c>
      <c r="K53">
        <v>0</v>
      </c>
      <c r="L53">
        <v>0</v>
      </c>
      <c r="M53">
        <v>0</v>
      </c>
      <c r="N53">
        <v>0</v>
      </c>
      <c r="O53">
        <v>0</v>
      </c>
      <c r="P53">
        <v>0</v>
      </c>
      <c r="Q53">
        <v>0</v>
      </c>
      <c r="R53">
        <v>0</v>
      </c>
      <c r="S53">
        <v>0.29411764705882354</v>
      </c>
      <c r="T53">
        <v>0</v>
      </c>
      <c r="U53">
        <v>0.29411764705882354</v>
      </c>
    </row>
    <row r="54" spans="1:21" x14ac:dyDescent="0.35">
      <c r="A54" s="24" t="s">
        <v>621</v>
      </c>
      <c r="B54" s="1" t="s">
        <v>51</v>
      </c>
      <c r="C54">
        <v>161</v>
      </c>
      <c r="D54">
        <v>0</v>
      </c>
      <c r="E54">
        <v>161</v>
      </c>
      <c r="F54">
        <v>38</v>
      </c>
      <c r="G54">
        <v>23</v>
      </c>
      <c r="H54">
        <v>0</v>
      </c>
      <c r="I54">
        <v>23</v>
      </c>
      <c r="J54">
        <v>1</v>
      </c>
      <c r="K54">
        <v>0</v>
      </c>
      <c r="L54">
        <v>1</v>
      </c>
      <c r="M54">
        <v>0</v>
      </c>
      <c r="N54">
        <v>0</v>
      </c>
      <c r="O54">
        <v>0</v>
      </c>
      <c r="P54">
        <v>0</v>
      </c>
      <c r="Q54">
        <v>0</v>
      </c>
      <c r="R54">
        <v>0</v>
      </c>
      <c r="S54">
        <v>0.14906832298136646</v>
      </c>
      <c r="T54">
        <v>0</v>
      </c>
      <c r="U54">
        <v>0.14906832298136646</v>
      </c>
    </row>
    <row r="55" spans="1:21" x14ac:dyDescent="0.35">
      <c r="A55" s="24" t="s">
        <v>622</v>
      </c>
      <c r="B55" s="1" t="s">
        <v>18</v>
      </c>
      <c r="C55">
        <v>113</v>
      </c>
      <c r="D55">
        <v>0</v>
      </c>
      <c r="E55">
        <v>113</v>
      </c>
      <c r="F55">
        <v>34</v>
      </c>
      <c r="G55">
        <v>15</v>
      </c>
      <c r="H55">
        <v>0</v>
      </c>
      <c r="I55">
        <v>15</v>
      </c>
      <c r="J55">
        <v>0</v>
      </c>
      <c r="K55">
        <v>0</v>
      </c>
      <c r="L55">
        <v>0</v>
      </c>
      <c r="M55">
        <v>0</v>
      </c>
      <c r="N55">
        <v>0</v>
      </c>
      <c r="O55">
        <v>0</v>
      </c>
      <c r="P55">
        <v>0</v>
      </c>
      <c r="Q55">
        <v>0</v>
      </c>
      <c r="R55">
        <v>0</v>
      </c>
      <c r="S55">
        <v>0.13274336283185842</v>
      </c>
      <c r="T55">
        <v>0</v>
      </c>
      <c r="U55">
        <v>0.13274336283185842</v>
      </c>
    </row>
    <row r="56" spans="1:21" x14ac:dyDescent="0.35">
      <c r="A56" s="24" t="s">
        <v>61</v>
      </c>
      <c r="B56" s="1" t="s">
        <v>55</v>
      </c>
      <c r="C56">
        <v>147</v>
      </c>
      <c r="D56">
        <v>0</v>
      </c>
      <c r="E56">
        <v>147</v>
      </c>
      <c r="F56">
        <v>41</v>
      </c>
      <c r="G56">
        <v>9</v>
      </c>
      <c r="H56">
        <v>0</v>
      </c>
      <c r="I56">
        <v>9</v>
      </c>
      <c r="J56">
        <v>3</v>
      </c>
      <c r="K56">
        <v>0</v>
      </c>
      <c r="L56">
        <v>3</v>
      </c>
      <c r="M56">
        <v>0</v>
      </c>
      <c r="N56">
        <v>0</v>
      </c>
      <c r="O56">
        <v>0</v>
      </c>
      <c r="P56">
        <v>0</v>
      </c>
      <c r="Q56">
        <v>0</v>
      </c>
      <c r="R56">
        <v>0</v>
      </c>
      <c r="S56">
        <v>8.1632653061224483E-2</v>
      </c>
      <c r="T56">
        <v>0</v>
      </c>
      <c r="U56">
        <v>8.1632653061224483E-2</v>
      </c>
    </row>
    <row r="57" spans="1:21" x14ac:dyDescent="0.35">
      <c r="A57" s="24" t="s">
        <v>623</v>
      </c>
      <c r="B57" s="1" t="s">
        <v>21</v>
      </c>
      <c r="C57">
        <v>105</v>
      </c>
      <c r="D57">
        <v>0</v>
      </c>
      <c r="E57">
        <v>105</v>
      </c>
      <c r="F57">
        <v>51</v>
      </c>
      <c r="G57">
        <v>5</v>
      </c>
      <c r="H57">
        <v>0</v>
      </c>
      <c r="I57">
        <v>5</v>
      </c>
      <c r="J57">
        <v>1</v>
      </c>
      <c r="K57">
        <v>0</v>
      </c>
      <c r="L57">
        <v>1</v>
      </c>
      <c r="M57">
        <v>0</v>
      </c>
      <c r="N57">
        <v>0</v>
      </c>
      <c r="O57">
        <v>0</v>
      </c>
      <c r="P57">
        <v>0</v>
      </c>
      <c r="Q57">
        <v>0</v>
      </c>
      <c r="R57">
        <v>0</v>
      </c>
      <c r="S57">
        <v>5.7142857142857141E-2</v>
      </c>
      <c r="T57">
        <v>0</v>
      </c>
      <c r="U57">
        <v>5.7142857142857141E-2</v>
      </c>
    </row>
    <row r="58" spans="1:21" x14ac:dyDescent="0.35">
      <c r="A58" s="24" t="s">
        <v>62</v>
      </c>
      <c r="B58" s="1" t="s">
        <v>58</v>
      </c>
      <c r="C58">
        <v>1882</v>
      </c>
      <c r="D58">
        <v>0</v>
      </c>
      <c r="E58">
        <v>1882</v>
      </c>
      <c r="F58">
        <v>820</v>
      </c>
      <c r="G58">
        <v>745</v>
      </c>
      <c r="H58">
        <v>0</v>
      </c>
      <c r="I58">
        <v>745</v>
      </c>
      <c r="J58">
        <v>60</v>
      </c>
      <c r="K58">
        <v>0</v>
      </c>
      <c r="L58">
        <v>60</v>
      </c>
      <c r="M58">
        <v>5</v>
      </c>
      <c r="N58">
        <v>0</v>
      </c>
      <c r="O58">
        <v>5</v>
      </c>
      <c r="P58">
        <v>2</v>
      </c>
      <c r="Q58">
        <v>0</v>
      </c>
      <c r="R58">
        <v>2</v>
      </c>
      <c r="S58">
        <v>0.43145589798087142</v>
      </c>
      <c r="T58">
        <v>0</v>
      </c>
      <c r="U58">
        <v>0.43145589798087142</v>
      </c>
    </row>
    <row r="59" spans="1:21" x14ac:dyDescent="0.35">
      <c r="A59" s="24" t="s">
        <v>624</v>
      </c>
      <c r="B59" s="1" t="s">
        <v>66</v>
      </c>
      <c r="C59">
        <v>592</v>
      </c>
      <c r="D59">
        <v>0</v>
      </c>
      <c r="E59">
        <v>592</v>
      </c>
      <c r="F59">
        <v>243</v>
      </c>
      <c r="G59">
        <v>218</v>
      </c>
      <c r="H59">
        <v>0</v>
      </c>
      <c r="I59">
        <v>218</v>
      </c>
      <c r="J59">
        <v>18</v>
      </c>
      <c r="K59">
        <v>0</v>
      </c>
      <c r="L59">
        <v>18</v>
      </c>
      <c r="M59">
        <v>0</v>
      </c>
      <c r="N59">
        <v>0</v>
      </c>
      <c r="O59">
        <v>0</v>
      </c>
      <c r="P59">
        <v>0</v>
      </c>
      <c r="Q59">
        <v>0</v>
      </c>
      <c r="R59">
        <v>0</v>
      </c>
      <c r="S59">
        <v>0.39864864864864863</v>
      </c>
      <c r="T59">
        <v>0</v>
      </c>
      <c r="U59">
        <v>0.39864864864864863</v>
      </c>
    </row>
    <row r="60" spans="1:21" x14ac:dyDescent="0.35">
      <c r="A60" s="24" t="s">
        <v>625</v>
      </c>
      <c r="B60" s="1" t="s">
        <v>20</v>
      </c>
      <c r="C60">
        <v>552</v>
      </c>
      <c r="D60">
        <v>0</v>
      </c>
      <c r="E60">
        <v>552</v>
      </c>
      <c r="F60">
        <v>111</v>
      </c>
      <c r="G60">
        <v>167</v>
      </c>
      <c r="H60">
        <v>0</v>
      </c>
      <c r="I60">
        <v>167</v>
      </c>
      <c r="J60">
        <v>8</v>
      </c>
      <c r="K60">
        <v>0</v>
      </c>
      <c r="L60">
        <v>8</v>
      </c>
      <c r="M60">
        <v>0</v>
      </c>
      <c r="N60">
        <v>0</v>
      </c>
      <c r="O60">
        <v>0</v>
      </c>
      <c r="P60">
        <v>1</v>
      </c>
      <c r="Q60">
        <v>0</v>
      </c>
      <c r="R60">
        <v>1</v>
      </c>
      <c r="S60">
        <v>0.3188405797101449</v>
      </c>
      <c r="T60">
        <v>0</v>
      </c>
      <c r="U60">
        <v>0.3188405797101449</v>
      </c>
    </row>
    <row r="61" spans="1:21" x14ac:dyDescent="0.35">
      <c r="A61" s="24" t="s">
        <v>63</v>
      </c>
      <c r="B61" s="1" t="s">
        <v>51</v>
      </c>
      <c r="C61">
        <v>490</v>
      </c>
      <c r="D61">
        <v>0</v>
      </c>
      <c r="E61">
        <v>490</v>
      </c>
      <c r="F61">
        <v>257</v>
      </c>
      <c r="G61">
        <v>69</v>
      </c>
      <c r="H61">
        <v>0</v>
      </c>
      <c r="I61">
        <v>69</v>
      </c>
      <c r="J61">
        <v>7</v>
      </c>
      <c r="K61">
        <v>0</v>
      </c>
      <c r="L61">
        <v>7</v>
      </c>
      <c r="M61">
        <v>0</v>
      </c>
      <c r="N61">
        <v>0</v>
      </c>
      <c r="O61">
        <v>0</v>
      </c>
      <c r="P61">
        <v>0</v>
      </c>
      <c r="Q61">
        <v>0</v>
      </c>
      <c r="R61">
        <v>0</v>
      </c>
      <c r="S61">
        <v>0.15510204081632653</v>
      </c>
      <c r="T61">
        <v>0</v>
      </c>
      <c r="U61">
        <v>0.15510204081632653</v>
      </c>
    </row>
    <row r="62" spans="1:21" x14ac:dyDescent="0.35">
      <c r="A62" s="24" t="s">
        <v>626</v>
      </c>
      <c r="B62" s="1" t="s">
        <v>18</v>
      </c>
      <c r="C62">
        <v>288</v>
      </c>
      <c r="D62">
        <v>0</v>
      </c>
      <c r="E62">
        <v>288</v>
      </c>
      <c r="F62">
        <v>107</v>
      </c>
      <c r="G62">
        <v>94</v>
      </c>
      <c r="H62">
        <v>0</v>
      </c>
      <c r="I62">
        <v>94</v>
      </c>
      <c r="J62">
        <v>6</v>
      </c>
      <c r="K62">
        <v>0</v>
      </c>
      <c r="L62">
        <v>6</v>
      </c>
      <c r="M62">
        <v>2</v>
      </c>
      <c r="N62">
        <v>0</v>
      </c>
      <c r="O62">
        <v>2</v>
      </c>
      <c r="P62">
        <v>0</v>
      </c>
      <c r="Q62">
        <v>0</v>
      </c>
      <c r="R62">
        <v>0</v>
      </c>
      <c r="S62">
        <v>0.35416666666666669</v>
      </c>
      <c r="T62">
        <v>0</v>
      </c>
      <c r="U62">
        <v>0.35416666666666669</v>
      </c>
    </row>
    <row r="63" spans="1:21" x14ac:dyDescent="0.35">
      <c r="A63" s="24">
        <v>45660</v>
      </c>
      <c r="B63" s="1" t="s">
        <v>55</v>
      </c>
      <c r="C63">
        <v>334</v>
      </c>
      <c r="D63">
        <v>0</v>
      </c>
      <c r="E63">
        <v>334</v>
      </c>
      <c r="F63">
        <v>188</v>
      </c>
      <c r="G63">
        <v>40</v>
      </c>
      <c r="H63">
        <v>0</v>
      </c>
      <c r="I63">
        <v>40</v>
      </c>
      <c r="J63">
        <v>13</v>
      </c>
      <c r="K63">
        <v>0</v>
      </c>
      <c r="L63">
        <v>13</v>
      </c>
      <c r="M63">
        <v>0</v>
      </c>
      <c r="N63">
        <v>0</v>
      </c>
      <c r="O63">
        <v>0</v>
      </c>
      <c r="P63">
        <v>0</v>
      </c>
      <c r="Q63">
        <v>0</v>
      </c>
      <c r="R63">
        <v>0</v>
      </c>
      <c r="S63">
        <v>0.15868263473053892</v>
      </c>
      <c r="T63">
        <v>0</v>
      </c>
      <c r="U63">
        <v>0.15868263473053892</v>
      </c>
    </row>
    <row r="64" spans="1:21" x14ac:dyDescent="0.35">
      <c r="A64" s="24">
        <v>45691</v>
      </c>
      <c r="B64" s="1" t="s">
        <v>21</v>
      </c>
      <c r="C64">
        <v>390</v>
      </c>
      <c r="D64">
        <v>0</v>
      </c>
      <c r="E64">
        <v>390</v>
      </c>
      <c r="F64">
        <v>175</v>
      </c>
      <c r="G64">
        <v>88</v>
      </c>
      <c r="H64">
        <v>0</v>
      </c>
      <c r="I64">
        <v>88</v>
      </c>
      <c r="J64">
        <v>18</v>
      </c>
      <c r="K64">
        <v>0</v>
      </c>
      <c r="L64">
        <v>18</v>
      </c>
      <c r="M64">
        <v>0</v>
      </c>
      <c r="N64">
        <v>0</v>
      </c>
      <c r="O64">
        <v>0</v>
      </c>
      <c r="P64">
        <v>0</v>
      </c>
      <c r="Q64">
        <v>0</v>
      </c>
      <c r="R64">
        <v>0</v>
      </c>
      <c r="S64">
        <v>0.27179487179487177</v>
      </c>
      <c r="T64">
        <v>0</v>
      </c>
      <c r="U64">
        <v>0.27179487179487177</v>
      </c>
    </row>
    <row r="65" spans="1:21" x14ac:dyDescent="0.35">
      <c r="A65" s="24">
        <v>45719</v>
      </c>
      <c r="B65" s="1" t="s">
        <v>58</v>
      </c>
      <c r="C65">
        <v>399</v>
      </c>
      <c r="D65">
        <v>0</v>
      </c>
      <c r="E65">
        <v>399</v>
      </c>
      <c r="F65">
        <v>136</v>
      </c>
      <c r="G65">
        <v>121</v>
      </c>
      <c r="H65">
        <v>0</v>
      </c>
      <c r="I65">
        <v>121</v>
      </c>
      <c r="J65">
        <v>10</v>
      </c>
      <c r="K65">
        <v>0</v>
      </c>
      <c r="L65">
        <v>10</v>
      </c>
      <c r="M65">
        <v>1</v>
      </c>
      <c r="N65">
        <v>0</v>
      </c>
      <c r="O65">
        <v>1</v>
      </c>
      <c r="P65">
        <v>0</v>
      </c>
      <c r="Q65">
        <v>0</v>
      </c>
      <c r="R65">
        <v>0</v>
      </c>
      <c r="S65">
        <v>0.33082706766917291</v>
      </c>
      <c r="T65">
        <v>0</v>
      </c>
      <c r="U65">
        <v>0.33082706766917291</v>
      </c>
    </row>
    <row r="66" spans="1:21" x14ac:dyDescent="0.35">
      <c r="A66" s="24">
        <v>45750</v>
      </c>
      <c r="B66" s="1" t="s">
        <v>66</v>
      </c>
      <c r="C66">
        <v>1010</v>
      </c>
      <c r="D66">
        <v>0</v>
      </c>
      <c r="E66">
        <v>1010</v>
      </c>
      <c r="F66">
        <v>504</v>
      </c>
      <c r="G66">
        <v>129</v>
      </c>
      <c r="H66">
        <v>0</v>
      </c>
      <c r="I66">
        <v>129</v>
      </c>
      <c r="J66">
        <v>27</v>
      </c>
      <c r="K66">
        <v>0</v>
      </c>
      <c r="L66">
        <v>27</v>
      </c>
      <c r="M66">
        <v>5</v>
      </c>
      <c r="N66">
        <v>0</v>
      </c>
      <c r="O66">
        <v>5</v>
      </c>
      <c r="P66">
        <v>1</v>
      </c>
      <c r="Q66">
        <v>0</v>
      </c>
      <c r="R66">
        <v>1</v>
      </c>
      <c r="S66">
        <v>0.1603960396039604</v>
      </c>
      <c r="T66">
        <v>0</v>
      </c>
      <c r="U66">
        <v>0.1603960396039604</v>
      </c>
    </row>
    <row r="67" spans="1:21" x14ac:dyDescent="0.35">
      <c r="A67" s="24">
        <v>45780</v>
      </c>
      <c r="B67" s="1" t="s">
        <v>20</v>
      </c>
      <c r="C67">
        <v>1441</v>
      </c>
      <c r="D67">
        <v>0</v>
      </c>
      <c r="E67">
        <v>1441</v>
      </c>
      <c r="F67">
        <v>625</v>
      </c>
      <c r="G67">
        <v>392</v>
      </c>
      <c r="H67">
        <v>0</v>
      </c>
      <c r="I67">
        <v>392</v>
      </c>
      <c r="J67">
        <v>36</v>
      </c>
      <c r="K67">
        <v>0</v>
      </c>
      <c r="L67">
        <v>36</v>
      </c>
      <c r="M67">
        <v>3</v>
      </c>
      <c r="N67">
        <v>0</v>
      </c>
      <c r="O67">
        <v>3</v>
      </c>
      <c r="P67">
        <v>0</v>
      </c>
      <c r="Q67">
        <v>0</v>
      </c>
      <c r="R67">
        <v>0</v>
      </c>
      <c r="S67">
        <v>0.29909784871616935</v>
      </c>
      <c r="T67">
        <v>0</v>
      </c>
      <c r="U67">
        <v>0.29909784871616935</v>
      </c>
    </row>
    <row r="68" spans="1:21" x14ac:dyDescent="0.35">
      <c r="A68" s="24">
        <v>45811</v>
      </c>
      <c r="B68" s="1" t="s">
        <v>51</v>
      </c>
      <c r="C68">
        <v>568</v>
      </c>
      <c r="D68">
        <v>0</v>
      </c>
      <c r="E68">
        <v>568</v>
      </c>
      <c r="F68">
        <v>227</v>
      </c>
      <c r="G68">
        <v>138</v>
      </c>
      <c r="H68">
        <v>0</v>
      </c>
      <c r="I68">
        <v>138</v>
      </c>
      <c r="J68">
        <v>8</v>
      </c>
      <c r="K68">
        <v>0</v>
      </c>
      <c r="L68">
        <v>8</v>
      </c>
      <c r="M68">
        <v>0</v>
      </c>
      <c r="N68">
        <v>0</v>
      </c>
      <c r="O68">
        <v>0</v>
      </c>
      <c r="P68">
        <v>0</v>
      </c>
      <c r="Q68">
        <v>0</v>
      </c>
      <c r="R68">
        <v>0</v>
      </c>
      <c r="S68">
        <v>0.25704225352112675</v>
      </c>
      <c r="T68">
        <v>0</v>
      </c>
      <c r="U68">
        <v>0.25704225352112675</v>
      </c>
    </row>
    <row r="69" spans="1:21" x14ac:dyDescent="0.35">
      <c r="A69" s="24">
        <v>45841</v>
      </c>
      <c r="B69" s="1" t="s">
        <v>18</v>
      </c>
      <c r="C69">
        <v>660</v>
      </c>
      <c r="D69">
        <v>0</v>
      </c>
      <c r="E69">
        <v>660</v>
      </c>
      <c r="F69">
        <v>154</v>
      </c>
      <c r="G69">
        <v>171</v>
      </c>
      <c r="H69">
        <v>0</v>
      </c>
      <c r="I69">
        <v>171</v>
      </c>
      <c r="J69">
        <v>5</v>
      </c>
      <c r="K69">
        <v>0</v>
      </c>
      <c r="L69">
        <v>5</v>
      </c>
      <c r="M69">
        <v>0</v>
      </c>
      <c r="N69">
        <v>0</v>
      </c>
      <c r="O69">
        <v>0</v>
      </c>
      <c r="P69">
        <v>0</v>
      </c>
      <c r="Q69">
        <v>0</v>
      </c>
      <c r="R69">
        <v>0</v>
      </c>
      <c r="S69">
        <v>0.26666666666666666</v>
      </c>
      <c r="T69">
        <v>0</v>
      </c>
      <c r="U69">
        <v>0.26666666666666666</v>
      </c>
    </row>
    <row r="70" spans="1:21" x14ac:dyDescent="0.35">
      <c r="A70" s="24">
        <v>45872</v>
      </c>
      <c r="B70" s="1" t="s">
        <v>55</v>
      </c>
      <c r="C70">
        <v>1645</v>
      </c>
      <c r="D70">
        <v>0</v>
      </c>
      <c r="E70">
        <v>1645</v>
      </c>
      <c r="F70">
        <v>717</v>
      </c>
      <c r="G70">
        <v>588</v>
      </c>
      <c r="H70">
        <v>0</v>
      </c>
      <c r="I70">
        <v>588</v>
      </c>
      <c r="J70">
        <v>31</v>
      </c>
      <c r="K70">
        <v>0</v>
      </c>
      <c r="L70">
        <v>31</v>
      </c>
      <c r="M70">
        <v>1</v>
      </c>
      <c r="N70">
        <v>0</v>
      </c>
      <c r="O70">
        <v>1</v>
      </c>
      <c r="P70">
        <v>2</v>
      </c>
      <c r="Q70">
        <v>0</v>
      </c>
      <c r="R70">
        <v>2</v>
      </c>
      <c r="S70">
        <v>0.37811550151975681</v>
      </c>
      <c r="T70">
        <v>0</v>
      </c>
      <c r="U70">
        <v>0.37811550151975681</v>
      </c>
    </row>
    <row r="71" spans="1:21" x14ac:dyDescent="0.35">
      <c r="A71" s="24">
        <v>45903</v>
      </c>
      <c r="B71" s="1" t="s">
        <v>21</v>
      </c>
      <c r="C71">
        <v>759</v>
      </c>
      <c r="D71">
        <v>0</v>
      </c>
      <c r="E71">
        <v>759</v>
      </c>
      <c r="F71">
        <v>365</v>
      </c>
      <c r="G71">
        <v>284</v>
      </c>
      <c r="H71">
        <v>0</v>
      </c>
      <c r="I71">
        <v>284</v>
      </c>
      <c r="J71">
        <v>13</v>
      </c>
      <c r="K71">
        <v>0</v>
      </c>
      <c r="L71">
        <v>13</v>
      </c>
      <c r="M71">
        <v>1</v>
      </c>
      <c r="N71">
        <v>0</v>
      </c>
      <c r="O71">
        <v>1</v>
      </c>
      <c r="P71">
        <v>0</v>
      </c>
      <c r="Q71">
        <v>0</v>
      </c>
      <c r="R71">
        <v>0</v>
      </c>
      <c r="S71">
        <v>0.39262187088274042</v>
      </c>
      <c r="T71">
        <v>0</v>
      </c>
      <c r="U71">
        <v>0.39262187088274042</v>
      </c>
    </row>
    <row r="72" spans="1:21" x14ac:dyDescent="0.35">
      <c r="A72" s="24">
        <v>45933</v>
      </c>
      <c r="B72" s="1" t="s">
        <v>58</v>
      </c>
      <c r="C72">
        <v>553</v>
      </c>
      <c r="D72">
        <v>0</v>
      </c>
      <c r="E72">
        <v>553</v>
      </c>
      <c r="F72">
        <v>194</v>
      </c>
      <c r="G72">
        <v>178</v>
      </c>
      <c r="H72">
        <v>0</v>
      </c>
      <c r="I72">
        <v>178</v>
      </c>
      <c r="J72">
        <v>11</v>
      </c>
      <c r="K72">
        <v>0</v>
      </c>
      <c r="L72">
        <v>11</v>
      </c>
      <c r="M72">
        <v>0</v>
      </c>
      <c r="N72">
        <v>0</v>
      </c>
      <c r="O72">
        <v>0</v>
      </c>
      <c r="P72">
        <v>0</v>
      </c>
      <c r="Q72">
        <v>0</v>
      </c>
      <c r="R72">
        <v>0</v>
      </c>
      <c r="S72">
        <v>0.34177215189873417</v>
      </c>
      <c r="T72">
        <v>0</v>
      </c>
      <c r="U72">
        <v>0.34177215189873417</v>
      </c>
    </row>
    <row r="73" spans="1:21" x14ac:dyDescent="0.35">
      <c r="A73" s="24">
        <v>45964</v>
      </c>
      <c r="B73" s="1" t="s">
        <v>66</v>
      </c>
      <c r="C73">
        <v>1675</v>
      </c>
      <c r="D73">
        <v>0</v>
      </c>
      <c r="E73">
        <v>1675</v>
      </c>
      <c r="F73">
        <v>576</v>
      </c>
      <c r="G73">
        <v>484</v>
      </c>
      <c r="H73">
        <v>0</v>
      </c>
      <c r="I73">
        <v>484</v>
      </c>
      <c r="J73">
        <v>47</v>
      </c>
      <c r="K73">
        <v>0</v>
      </c>
      <c r="L73">
        <v>47</v>
      </c>
      <c r="M73">
        <v>1</v>
      </c>
      <c r="N73">
        <v>0</v>
      </c>
      <c r="O73">
        <v>1</v>
      </c>
      <c r="P73">
        <v>1</v>
      </c>
      <c r="Q73">
        <v>0</v>
      </c>
      <c r="R73">
        <v>1</v>
      </c>
      <c r="S73">
        <v>0.3182089552238806</v>
      </c>
      <c r="T73">
        <v>0</v>
      </c>
      <c r="U73">
        <v>0.3182089552238806</v>
      </c>
    </row>
    <row r="74" spans="1:21" x14ac:dyDescent="0.35">
      <c r="A74" s="24">
        <v>45994</v>
      </c>
      <c r="B74" s="1" t="s">
        <v>20</v>
      </c>
      <c r="C74">
        <v>1249</v>
      </c>
      <c r="D74">
        <v>0</v>
      </c>
      <c r="E74">
        <v>1249</v>
      </c>
      <c r="F74">
        <v>370</v>
      </c>
      <c r="G74">
        <v>243</v>
      </c>
      <c r="H74">
        <v>0</v>
      </c>
      <c r="I74">
        <v>243</v>
      </c>
      <c r="J74">
        <v>15</v>
      </c>
      <c r="K74">
        <v>0</v>
      </c>
      <c r="L74">
        <v>15</v>
      </c>
      <c r="M74">
        <v>1</v>
      </c>
      <c r="N74">
        <v>0</v>
      </c>
      <c r="O74">
        <v>1</v>
      </c>
      <c r="P74">
        <v>0</v>
      </c>
      <c r="Q74">
        <v>0</v>
      </c>
      <c r="R74">
        <v>0</v>
      </c>
      <c r="S74">
        <v>0.20736589271417133</v>
      </c>
      <c r="T74">
        <v>0</v>
      </c>
      <c r="U74">
        <v>0.20736589271417133</v>
      </c>
    </row>
    <row r="75" spans="1:21" x14ac:dyDescent="0.35">
      <c r="A75" s="24" t="s">
        <v>72</v>
      </c>
      <c r="B75" s="1" t="s">
        <v>51</v>
      </c>
      <c r="C75">
        <v>1070</v>
      </c>
      <c r="D75">
        <v>0</v>
      </c>
      <c r="E75">
        <v>1070</v>
      </c>
      <c r="F75">
        <v>442</v>
      </c>
      <c r="G75">
        <v>167</v>
      </c>
      <c r="H75">
        <v>0</v>
      </c>
      <c r="I75">
        <v>167</v>
      </c>
      <c r="J75">
        <v>22</v>
      </c>
      <c r="K75">
        <v>0</v>
      </c>
      <c r="L75">
        <v>22</v>
      </c>
      <c r="M75">
        <v>0</v>
      </c>
      <c r="N75">
        <v>0</v>
      </c>
      <c r="O75">
        <v>0</v>
      </c>
      <c r="P75">
        <v>0</v>
      </c>
      <c r="Q75">
        <v>0</v>
      </c>
      <c r="R75">
        <v>0</v>
      </c>
      <c r="S75">
        <v>0.1766355140186916</v>
      </c>
      <c r="T75">
        <v>0</v>
      </c>
      <c r="U75">
        <v>0.1766355140186916</v>
      </c>
    </row>
    <row r="76" spans="1:21" x14ac:dyDescent="0.35">
      <c r="A76" s="24" t="s">
        <v>627</v>
      </c>
      <c r="B76" s="1" t="s">
        <v>18</v>
      </c>
      <c r="C76">
        <v>639</v>
      </c>
      <c r="D76">
        <v>0</v>
      </c>
      <c r="E76">
        <v>639</v>
      </c>
      <c r="F76">
        <v>236</v>
      </c>
      <c r="G76">
        <v>83</v>
      </c>
      <c r="H76">
        <v>0</v>
      </c>
      <c r="I76">
        <v>83</v>
      </c>
      <c r="J76">
        <v>11</v>
      </c>
      <c r="K76">
        <v>0</v>
      </c>
      <c r="L76">
        <v>11</v>
      </c>
      <c r="M76">
        <v>2</v>
      </c>
      <c r="N76">
        <v>0</v>
      </c>
      <c r="O76">
        <v>2</v>
      </c>
      <c r="P76">
        <v>0</v>
      </c>
      <c r="Q76">
        <v>0</v>
      </c>
      <c r="R76">
        <v>0</v>
      </c>
      <c r="S76">
        <v>0.15023474178403756</v>
      </c>
      <c r="T76">
        <v>0</v>
      </c>
      <c r="U76">
        <v>0.15023474178403756</v>
      </c>
    </row>
    <row r="77" spans="1:21" x14ac:dyDescent="0.35">
      <c r="A77" s="24" t="s">
        <v>628</v>
      </c>
      <c r="B77" s="1" t="s">
        <v>55</v>
      </c>
      <c r="C77">
        <v>474</v>
      </c>
      <c r="D77">
        <v>0</v>
      </c>
      <c r="E77">
        <v>474</v>
      </c>
      <c r="F77">
        <v>184</v>
      </c>
      <c r="G77">
        <v>71</v>
      </c>
      <c r="H77">
        <v>0</v>
      </c>
      <c r="I77">
        <v>71</v>
      </c>
      <c r="J77">
        <v>5</v>
      </c>
      <c r="K77">
        <v>0</v>
      </c>
      <c r="L77">
        <v>5</v>
      </c>
      <c r="M77">
        <v>0</v>
      </c>
      <c r="N77">
        <v>0</v>
      </c>
      <c r="O77">
        <v>0</v>
      </c>
      <c r="P77">
        <v>0</v>
      </c>
      <c r="Q77">
        <v>0</v>
      </c>
      <c r="R77">
        <v>0</v>
      </c>
      <c r="S77">
        <v>0.16033755274261605</v>
      </c>
      <c r="T77">
        <v>0</v>
      </c>
      <c r="U77">
        <v>0.16033755274261605</v>
      </c>
    </row>
    <row r="78" spans="1:21" x14ac:dyDescent="0.35">
      <c r="A78" s="24" t="s">
        <v>629</v>
      </c>
      <c r="B78" s="1" t="s">
        <v>543</v>
      </c>
      <c r="C78">
        <v>272</v>
      </c>
      <c r="D78">
        <v>0</v>
      </c>
      <c r="E78">
        <v>272</v>
      </c>
      <c r="F78">
        <v>112</v>
      </c>
      <c r="G78">
        <v>26</v>
      </c>
      <c r="H78">
        <v>0</v>
      </c>
      <c r="I78">
        <v>26</v>
      </c>
      <c r="J78">
        <v>2</v>
      </c>
      <c r="K78">
        <v>0</v>
      </c>
      <c r="L78">
        <v>2</v>
      </c>
      <c r="M78">
        <v>0</v>
      </c>
      <c r="N78">
        <v>0</v>
      </c>
      <c r="O78">
        <v>0</v>
      </c>
      <c r="P78">
        <v>0</v>
      </c>
      <c r="Q78">
        <v>0</v>
      </c>
      <c r="R78">
        <v>0</v>
      </c>
      <c r="S78">
        <v>0.10294117647058823</v>
      </c>
      <c r="T78">
        <v>0</v>
      </c>
      <c r="U78">
        <v>0.10294117647058823</v>
      </c>
    </row>
    <row r="79" spans="1:21" x14ac:dyDescent="0.35">
      <c r="A79" s="24" t="s">
        <v>630</v>
      </c>
      <c r="B79" s="1" t="s">
        <v>58</v>
      </c>
      <c r="C79">
        <v>200</v>
      </c>
      <c r="D79">
        <v>0</v>
      </c>
      <c r="E79">
        <v>200</v>
      </c>
      <c r="F79">
        <v>71</v>
      </c>
      <c r="G79">
        <v>59</v>
      </c>
      <c r="H79">
        <v>0</v>
      </c>
      <c r="I79">
        <v>59</v>
      </c>
      <c r="J79">
        <v>4</v>
      </c>
      <c r="K79">
        <v>0</v>
      </c>
      <c r="L79">
        <v>4</v>
      </c>
      <c r="M79">
        <v>0</v>
      </c>
      <c r="N79">
        <v>0</v>
      </c>
      <c r="O79">
        <v>0</v>
      </c>
      <c r="P79">
        <v>0</v>
      </c>
      <c r="Q79">
        <v>0</v>
      </c>
      <c r="R79">
        <v>0</v>
      </c>
      <c r="S79">
        <v>0.315</v>
      </c>
      <c r="T79">
        <v>0</v>
      </c>
      <c r="U79">
        <v>0.315</v>
      </c>
    </row>
    <row r="80" spans="1:21" x14ac:dyDescent="0.35">
      <c r="A80" s="24" t="s">
        <v>631</v>
      </c>
      <c r="B80" s="1" t="s">
        <v>66</v>
      </c>
      <c r="C80">
        <v>136</v>
      </c>
      <c r="D80">
        <v>0</v>
      </c>
      <c r="E80">
        <v>136</v>
      </c>
      <c r="F80">
        <v>54</v>
      </c>
      <c r="G80">
        <v>43</v>
      </c>
      <c r="H80">
        <v>0</v>
      </c>
      <c r="I80">
        <v>43</v>
      </c>
      <c r="J80">
        <v>2</v>
      </c>
      <c r="K80">
        <v>0</v>
      </c>
      <c r="L80">
        <v>2</v>
      </c>
      <c r="M80">
        <v>0</v>
      </c>
      <c r="N80">
        <v>0</v>
      </c>
      <c r="O80">
        <v>0</v>
      </c>
      <c r="P80">
        <v>0</v>
      </c>
      <c r="Q80">
        <v>0</v>
      </c>
      <c r="R80">
        <v>0</v>
      </c>
      <c r="S80">
        <v>0.33088235294117646</v>
      </c>
      <c r="T80">
        <v>0</v>
      </c>
      <c r="U80">
        <v>0.33088235294117646</v>
      </c>
    </row>
    <row r="81" spans="1:21" x14ac:dyDescent="0.35">
      <c r="A81" s="24" t="s">
        <v>632</v>
      </c>
      <c r="B81" s="1" t="s">
        <v>20</v>
      </c>
      <c r="C81">
        <v>583</v>
      </c>
      <c r="D81">
        <v>0</v>
      </c>
      <c r="E81">
        <v>583</v>
      </c>
      <c r="F81">
        <v>94</v>
      </c>
      <c r="G81">
        <v>167</v>
      </c>
      <c r="H81">
        <v>0</v>
      </c>
      <c r="I81">
        <v>167</v>
      </c>
      <c r="J81">
        <v>3</v>
      </c>
      <c r="K81">
        <v>0</v>
      </c>
      <c r="L81">
        <v>3</v>
      </c>
      <c r="M81">
        <v>0</v>
      </c>
      <c r="N81">
        <v>0</v>
      </c>
      <c r="O81">
        <v>0</v>
      </c>
      <c r="P81">
        <v>0</v>
      </c>
      <c r="Q81">
        <v>0</v>
      </c>
      <c r="R81">
        <v>0</v>
      </c>
      <c r="S81">
        <v>0.29159519725557459</v>
      </c>
      <c r="T81">
        <v>0</v>
      </c>
      <c r="U81">
        <v>0.29159519725557459</v>
      </c>
    </row>
    <row r="82" spans="1:21" x14ac:dyDescent="0.35">
      <c r="A82" s="24" t="s">
        <v>633</v>
      </c>
      <c r="B82" s="1" t="s">
        <v>51</v>
      </c>
      <c r="C82">
        <v>178</v>
      </c>
      <c r="D82">
        <v>0</v>
      </c>
      <c r="E82">
        <v>178</v>
      </c>
      <c r="F82">
        <v>51</v>
      </c>
      <c r="G82">
        <v>23</v>
      </c>
      <c r="H82">
        <v>0</v>
      </c>
      <c r="I82">
        <v>23</v>
      </c>
      <c r="J82">
        <v>1</v>
      </c>
      <c r="K82">
        <v>0</v>
      </c>
      <c r="L82">
        <v>1</v>
      </c>
      <c r="M82">
        <v>0</v>
      </c>
      <c r="N82">
        <v>0</v>
      </c>
      <c r="O82">
        <v>0</v>
      </c>
      <c r="P82">
        <v>0</v>
      </c>
      <c r="Q82">
        <v>0</v>
      </c>
      <c r="R82">
        <v>0</v>
      </c>
      <c r="S82">
        <v>0.1348314606741573</v>
      </c>
      <c r="T82">
        <v>0</v>
      </c>
      <c r="U82">
        <v>0.1348314606741573</v>
      </c>
    </row>
    <row r="83" spans="1:21" x14ac:dyDescent="0.35">
      <c r="A83" s="24" t="s">
        <v>97</v>
      </c>
      <c r="B83" s="1" t="s">
        <v>18</v>
      </c>
      <c r="C83">
        <v>94</v>
      </c>
      <c r="D83">
        <v>0</v>
      </c>
      <c r="E83">
        <v>94</v>
      </c>
      <c r="F83">
        <v>46</v>
      </c>
      <c r="G83">
        <v>14</v>
      </c>
      <c r="H83">
        <v>0</v>
      </c>
      <c r="I83">
        <v>14</v>
      </c>
      <c r="J83">
        <v>3</v>
      </c>
      <c r="K83">
        <v>0</v>
      </c>
      <c r="L83">
        <v>3</v>
      </c>
      <c r="M83">
        <v>1</v>
      </c>
      <c r="N83">
        <v>0</v>
      </c>
      <c r="O83">
        <v>1</v>
      </c>
      <c r="P83">
        <v>0</v>
      </c>
      <c r="Q83">
        <v>0</v>
      </c>
      <c r="R83">
        <v>0</v>
      </c>
      <c r="S83">
        <v>0.19148936170212766</v>
      </c>
      <c r="T83">
        <v>0</v>
      </c>
      <c r="U83">
        <v>0.19148936170212766</v>
      </c>
    </row>
    <row r="84" spans="1:21" x14ac:dyDescent="0.35">
      <c r="A84" s="24" t="s">
        <v>98</v>
      </c>
      <c r="B84" s="1" t="s">
        <v>55</v>
      </c>
      <c r="C84">
        <v>104</v>
      </c>
      <c r="D84">
        <v>0</v>
      </c>
      <c r="E84">
        <v>104</v>
      </c>
      <c r="F84">
        <v>44</v>
      </c>
      <c r="G84">
        <v>21</v>
      </c>
      <c r="H84">
        <v>0</v>
      </c>
      <c r="I84">
        <v>21</v>
      </c>
      <c r="J84">
        <v>2</v>
      </c>
      <c r="K84">
        <v>0</v>
      </c>
      <c r="L84">
        <v>2</v>
      </c>
      <c r="M84">
        <v>0</v>
      </c>
      <c r="N84">
        <v>0</v>
      </c>
      <c r="O84">
        <v>0</v>
      </c>
      <c r="P84">
        <v>0</v>
      </c>
      <c r="Q84">
        <v>0</v>
      </c>
      <c r="R84">
        <v>0</v>
      </c>
      <c r="S84">
        <v>0.22115384615384615</v>
      </c>
      <c r="T84">
        <v>0</v>
      </c>
      <c r="U84">
        <v>0.22115384615384615</v>
      </c>
    </row>
    <row r="85" spans="1:21" x14ac:dyDescent="0.35">
      <c r="A85" s="24" t="s">
        <v>634</v>
      </c>
      <c r="B85" s="1" t="s">
        <v>21</v>
      </c>
      <c r="C85">
        <v>188</v>
      </c>
      <c r="D85">
        <v>0</v>
      </c>
      <c r="E85">
        <v>188</v>
      </c>
      <c r="F85">
        <v>65</v>
      </c>
      <c r="G85">
        <v>122</v>
      </c>
      <c r="H85">
        <v>0</v>
      </c>
      <c r="I85">
        <v>122</v>
      </c>
      <c r="J85">
        <v>3</v>
      </c>
      <c r="K85">
        <v>0</v>
      </c>
      <c r="L85">
        <v>3</v>
      </c>
      <c r="M85">
        <v>0</v>
      </c>
      <c r="N85">
        <v>0</v>
      </c>
      <c r="O85">
        <v>0</v>
      </c>
      <c r="P85">
        <v>0</v>
      </c>
      <c r="Q85">
        <v>0</v>
      </c>
      <c r="R85">
        <v>0</v>
      </c>
      <c r="S85">
        <v>0.66489361702127658</v>
      </c>
      <c r="T85">
        <v>0</v>
      </c>
      <c r="U85">
        <v>0.66489361702127658</v>
      </c>
    </row>
    <row r="86" spans="1:21" x14ac:dyDescent="0.35">
      <c r="A86" s="24" t="s">
        <v>599</v>
      </c>
      <c r="B86" s="1" t="s">
        <v>58</v>
      </c>
      <c r="C86">
        <v>2038</v>
      </c>
      <c r="D86">
        <v>0</v>
      </c>
      <c r="E86">
        <v>2038</v>
      </c>
      <c r="F86">
        <v>1152</v>
      </c>
      <c r="G86">
        <v>187</v>
      </c>
      <c r="H86">
        <v>0</v>
      </c>
      <c r="I86">
        <v>187</v>
      </c>
      <c r="J86">
        <v>44</v>
      </c>
      <c r="K86">
        <v>0</v>
      </c>
      <c r="L86">
        <v>44</v>
      </c>
      <c r="M86">
        <v>5</v>
      </c>
      <c r="N86">
        <v>0</v>
      </c>
      <c r="O86">
        <v>5</v>
      </c>
      <c r="P86">
        <v>0</v>
      </c>
      <c r="Q86">
        <v>0</v>
      </c>
      <c r="R86">
        <v>0</v>
      </c>
      <c r="S86">
        <v>0.11579980372914622</v>
      </c>
      <c r="T86">
        <v>0</v>
      </c>
      <c r="U86">
        <v>0.11579980372914622</v>
      </c>
    </row>
    <row r="87" spans="1:21" x14ac:dyDescent="0.35">
      <c r="A87" s="24" t="s">
        <v>635</v>
      </c>
      <c r="B87" s="1" t="s">
        <v>66</v>
      </c>
      <c r="C87">
        <v>386</v>
      </c>
      <c r="D87">
        <v>0</v>
      </c>
      <c r="E87">
        <v>386</v>
      </c>
      <c r="F87">
        <v>206</v>
      </c>
      <c r="G87">
        <v>39</v>
      </c>
      <c r="H87">
        <v>0</v>
      </c>
      <c r="I87">
        <v>39</v>
      </c>
      <c r="J87">
        <v>8</v>
      </c>
      <c r="K87">
        <v>0</v>
      </c>
      <c r="L87">
        <v>8</v>
      </c>
      <c r="M87">
        <v>0</v>
      </c>
      <c r="N87">
        <v>0</v>
      </c>
      <c r="O87">
        <v>0</v>
      </c>
      <c r="P87">
        <v>0</v>
      </c>
      <c r="Q87">
        <v>0</v>
      </c>
      <c r="R87">
        <v>0</v>
      </c>
      <c r="S87">
        <v>0.12176165803108809</v>
      </c>
      <c r="T87">
        <v>0</v>
      </c>
      <c r="U87">
        <v>0.12176165803108809</v>
      </c>
    </row>
    <row r="88" spans="1:21" x14ac:dyDescent="0.35">
      <c r="A88" s="24" t="s">
        <v>636</v>
      </c>
      <c r="B88" s="1" t="s">
        <v>20</v>
      </c>
      <c r="C88">
        <v>195</v>
      </c>
      <c r="D88">
        <v>0</v>
      </c>
      <c r="E88">
        <v>195</v>
      </c>
      <c r="F88">
        <v>90</v>
      </c>
      <c r="G88">
        <v>12</v>
      </c>
      <c r="H88">
        <v>0</v>
      </c>
      <c r="I88">
        <v>12</v>
      </c>
      <c r="J88">
        <v>3</v>
      </c>
      <c r="K88">
        <v>0</v>
      </c>
      <c r="L88">
        <v>3</v>
      </c>
      <c r="M88">
        <v>0</v>
      </c>
      <c r="N88">
        <v>0</v>
      </c>
      <c r="O88">
        <v>0</v>
      </c>
      <c r="P88">
        <v>0</v>
      </c>
      <c r="Q88">
        <v>0</v>
      </c>
      <c r="R88">
        <v>0</v>
      </c>
      <c r="S88">
        <v>7.6923076923076927E-2</v>
      </c>
      <c r="T88">
        <v>0</v>
      </c>
      <c r="U88">
        <v>7.6923076923076927E-2</v>
      </c>
    </row>
    <row r="89" spans="1:21" x14ac:dyDescent="0.35">
      <c r="A89" s="24" t="s">
        <v>637</v>
      </c>
      <c r="B89" s="1" t="s">
        <v>51</v>
      </c>
      <c r="C89">
        <v>334</v>
      </c>
      <c r="D89">
        <v>0</v>
      </c>
      <c r="E89">
        <v>334</v>
      </c>
      <c r="F89">
        <v>123</v>
      </c>
      <c r="G89">
        <v>28</v>
      </c>
      <c r="H89">
        <v>0</v>
      </c>
      <c r="I89">
        <v>28</v>
      </c>
      <c r="J89">
        <v>1</v>
      </c>
      <c r="K89">
        <v>0</v>
      </c>
      <c r="L89">
        <v>1</v>
      </c>
      <c r="M89">
        <v>0</v>
      </c>
      <c r="N89">
        <v>0</v>
      </c>
      <c r="O89">
        <v>0</v>
      </c>
      <c r="P89">
        <v>0</v>
      </c>
      <c r="Q89">
        <v>0</v>
      </c>
      <c r="R89">
        <v>0</v>
      </c>
      <c r="S89">
        <v>8.6826347305389226E-2</v>
      </c>
      <c r="T89">
        <v>0</v>
      </c>
      <c r="U89">
        <v>8.6826347305389226E-2</v>
      </c>
    </row>
    <row r="90" spans="1:21" x14ac:dyDescent="0.35">
      <c r="A90" s="24" t="s">
        <v>638</v>
      </c>
      <c r="B90" s="1" t="s">
        <v>18</v>
      </c>
      <c r="C90">
        <v>244</v>
      </c>
      <c r="D90">
        <v>0</v>
      </c>
      <c r="E90">
        <v>244</v>
      </c>
      <c r="F90">
        <v>58</v>
      </c>
      <c r="G90">
        <v>48</v>
      </c>
      <c r="H90">
        <v>0</v>
      </c>
      <c r="I90">
        <v>48</v>
      </c>
      <c r="J90">
        <v>1</v>
      </c>
      <c r="K90">
        <v>0</v>
      </c>
      <c r="L90">
        <v>1</v>
      </c>
      <c r="M90">
        <v>0</v>
      </c>
      <c r="N90">
        <v>0</v>
      </c>
      <c r="O90">
        <v>0</v>
      </c>
      <c r="P90">
        <v>0</v>
      </c>
      <c r="Q90">
        <v>0</v>
      </c>
      <c r="R90">
        <v>0</v>
      </c>
      <c r="S90">
        <v>0.20081967213114754</v>
      </c>
      <c r="T90">
        <v>0</v>
      </c>
      <c r="U90">
        <v>0.20081967213114754</v>
      </c>
    </row>
    <row r="91" spans="1:21" x14ac:dyDescent="0.35">
      <c r="A91" s="24" t="s">
        <v>639</v>
      </c>
      <c r="B91" s="1" t="s">
        <v>55</v>
      </c>
      <c r="C91">
        <v>79</v>
      </c>
      <c r="D91">
        <v>0</v>
      </c>
      <c r="E91">
        <v>79</v>
      </c>
      <c r="F91">
        <v>45</v>
      </c>
      <c r="G91">
        <v>10</v>
      </c>
      <c r="H91">
        <v>0</v>
      </c>
      <c r="I91">
        <v>10</v>
      </c>
      <c r="J91">
        <v>7</v>
      </c>
      <c r="K91">
        <v>0</v>
      </c>
      <c r="L91">
        <v>7</v>
      </c>
      <c r="M91">
        <v>0</v>
      </c>
      <c r="N91">
        <v>0</v>
      </c>
      <c r="O91">
        <v>0</v>
      </c>
      <c r="P91">
        <v>0</v>
      </c>
      <c r="Q91">
        <v>0</v>
      </c>
      <c r="R91">
        <v>0</v>
      </c>
      <c r="S91">
        <v>0.21518987341772153</v>
      </c>
      <c r="T91">
        <v>0</v>
      </c>
      <c r="U91">
        <v>0.21518987341772153</v>
      </c>
    </row>
    <row r="92" spans="1:21" x14ac:dyDescent="0.35">
      <c r="A92" s="24" t="s">
        <v>640</v>
      </c>
      <c r="B92" s="1" t="s">
        <v>21</v>
      </c>
      <c r="C92">
        <v>125</v>
      </c>
      <c r="D92">
        <v>0</v>
      </c>
      <c r="E92">
        <v>125</v>
      </c>
      <c r="F92">
        <v>51</v>
      </c>
      <c r="G92">
        <v>8</v>
      </c>
      <c r="H92">
        <v>0</v>
      </c>
      <c r="I92">
        <v>8</v>
      </c>
      <c r="J92">
        <v>4</v>
      </c>
      <c r="K92">
        <v>0</v>
      </c>
      <c r="L92">
        <v>4</v>
      </c>
      <c r="M92">
        <v>0</v>
      </c>
      <c r="N92">
        <v>0</v>
      </c>
      <c r="O92">
        <v>0</v>
      </c>
      <c r="P92">
        <v>0</v>
      </c>
      <c r="Q92">
        <v>0</v>
      </c>
      <c r="R92">
        <v>0</v>
      </c>
      <c r="S92">
        <v>9.6000000000000002E-2</v>
      </c>
      <c r="T92">
        <v>0</v>
      </c>
      <c r="U92">
        <v>9.6000000000000002E-2</v>
      </c>
    </row>
    <row r="93" spans="1:21" x14ac:dyDescent="0.35">
      <c r="A93" s="24" t="s">
        <v>641</v>
      </c>
      <c r="B93" s="1" t="s">
        <v>58</v>
      </c>
      <c r="C93">
        <v>50</v>
      </c>
      <c r="D93">
        <v>0</v>
      </c>
      <c r="E93">
        <v>50</v>
      </c>
      <c r="F93">
        <v>27</v>
      </c>
      <c r="G93">
        <v>9</v>
      </c>
      <c r="H93">
        <v>0</v>
      </c>
      <c r="I93">
        <v>9</v>
      </c>
      <c r="J93">
        <v>1</v>
      </c>
      <c r="K93">
        <v>0</v>
      </c>
      <c r="L93">
        <v>1</v>
      </c>
      <c r="M93">
        <v>0</v>
      </c>
      <c r="N93">
        <v>0</v>
      </c>
      <c r="O93">
        <v>0</v>
      </c>
      <c r="P93">
        <v>0</v>
      </c>
      <c r="Q93">
        <v>0</v>
      </c>
      <c r="R93">
        <v>0</v>
      </c>
      <c r="S93">
        <v>0.2</v>
      </c>
      <c r="T93">
        <v>0</v>
      </c>
      <c r="U93">
        <v>0.2</v>
      </c>
    </row>
    <row r="94" spans="1:21" x14ac:dyDescent="0.35">
      <c r="A94" s="24">
        <v>45661</v>
      </c>
      <c r="B94" s="1" t="s">
        <v>66</v>
      </c>
      <c r="C94">
        <v>208</v>
      </c>
      <c r="D94">
        <v>0</v>
      </c>
      <c r="E94">
        <v>208</v>
      </c>
      <c r="F94">
        <v>121</v>
      </c>
      <c r="G94">
        <v>16</v>
      </c>
      <c r="H94">
        <v>0</v>
      </c>
      <c r="I94">
        <v>16</v>
      </c>
      <c r="J94">
        <v>2</v>
      </c>
      <c r="K94">
        <v>0</v>
      </c>
      <c r="L94">
        <v>2</v>
      </c>
      <c r="M94">
        <v>0</v>
      </c>
      <c r="N94">
        <v>0</v>
      </c>
      <c r="O94">
        <v>0</v>
      </c>
      <c r="P94">
        <v>0</v>
      </c>
      <c r="Q94">
        <v>0</v>
      </c>
      <c r="R94">
        <v>0</v>
      </c>
      <c r="S94">
        <v>8.6538461538461536E-2</v>
      </c>
      <c r="T94">
        <v>0</v>
      </c>
      <c r="U94">
        <v>8.6538461538461536E-2</v>
      </c>
    </row>
    <row r="95" spans="1:21" x14ac:dyDescent="0.35">
      <c r="A95" s="24">
        <v>45692</v>
      </c>
      <c r="B95" s="1" t="s">
        <v>20</v>
      </c>
      <c r="C95">
        <v>564</v>
      </c>
      <c r="D95">
        <v>0</v>
      </c>
      <c r="E95">
        <v>564</v>
      </c>
      <c r="F95">
        <v>335</v>
      </c>
      <c r="G95">
        <v>44</v>
      </c>
      <c r="H95">
        <v>0</v>
      </c>
      <c r="I95">
        <v>44</v>
      </c>
      <c r="J95">
        <v>8</v>
      </c>
      <c r="K95">
        <v>0</v>
      </c>
      <c r="L95">
        <v>8</v>
      </c>
      <c r="M95">
        <v>0</v>
      </c>
      <c r="N95">
        <v>0</v>
      </c>
      <c r="O95">
        <v>0</v>
      </c>
      <c r="P95">
        <v>0</v>
      </c>
      <c r="Q95">
        <v>0</v>
      </c>
      <c r="R95">
        <v>0</v>
      </c>
      <c r="S95">
        <v>9.2198581560283682E-2</v>
      </c>
      <c r="T95">
        <v>0</v>
      </c>
      <c r="U95">
        <v>9.2198581560283682E-2</v>
      </c>
    </row>
    <row r="96" spans="1:21" x14ac:dyDescent="0.35">
      <c r="A96" s="24">
        <v>45720</v>
      </c>
      <c r="B96" s="1" t="s">
        <v>51</v>
      </c>
      <c r="C96">
        <v>226</v>
      </c>
      <c r="D96">
        <v>0</v>
      </c>
      <c r="E96">
        <v>226</v>
      </c>
      <c r="F96">
        <v>105</v>
      </c>
      <c r="G96">
        <v>44</v>
      </c>
      <c r="H96">
        <v>0</v>
      </c>
      <c r="I96">
        <v>44</v>
      </c>
      <c r="J96">
        <v>4</v>
      </c>
      <c r="K96">
        <v>0</v>
      </c>
      <c r="L96">
        <v>4</v>
      </c>
      <c r="M96">
        <v>0</v>
      </c>
      <c r="N96">
        <v>0</v>
      </c>
      <c r="O96">
        <v>0</v>
      </c>
      <c r="P96">
        <v>0</v>
      </c>
      <c r="Q96">
        <v>0</v>
      </c>
      <c r="R96">
        <v>0</v>
      </c>
      <c r="S96">
        <v>0.21238938053097345</v>
      </c>
      <c r="T96">
        <v>0</v>
      </c>
      <c r="U96">
        <v>0.21238938053097345</v>
      </c>
    </row>
    <row r="97" spans="1:21" x14ac:dyDescent="0.35">
      <c r="A97" s="24">
        <v>45751</v>
      </c>
      <c r="B97" s="1" t="s">
        <v>18</v>
      </c>
      <c r="C97">
        <v>657</v>
      </c>
      <c r="D97">
        <v>0</v>
      </c>
      <c r="E97">
        <v>657</v>
      </c>
      <c r="F97">
        <v>376</v>
      </c>
      <c r="G97">
        <v>128</v>
      </c>
      <c r="H97">
        <v>0</v>
      </c>
      <c r="I97">
        <v>128</v>
      </c>
      <c r="J97">
        <v>27</v>
      </c>
      <c r="K97">
        <v>0</v>
      </c>
      <c r="L97">
        <v>27</v>
      </c>
      <c r="M97">
        <v>0</v>
      </c>
      <c r="N97">
        <v>0</v>
      </c>
      <c r="O97">
        <v>0</v>
      </c>
      <c r="P97">
        <v>0</v>
      </c>
      <c r="Q97">
        <v>0</v>
      </c>
      <c r="R97">
        <v>0</v>
      </c>
      <c r="S97">
        <v>0.23592085235920851</v>
      </c>
      <c r="T97">
        <v>0</v>
      </c>
      <c r="U97">
        <v>0.23592085235920851</v>
      </c>
    </row>
    <row r="98" spans="1:21" x14ac:dyDescent="0.35">
      <c r="A98" s="24">
        <v>45781</v>
      </c>
      <c r="B98" s="1" t="s">
        <v>55</v>
      </c>
      <c r="C98">
        <v>222</v>
      </c>
      <c r="D98">
        <v>0</v>
      </c>
      <c r="E98">
        <v>222</v>
      </c>
      <c r="F98">
        <v>131</v>
      </c>
      <c r="G98">
        <v>36</v>
      </c>
      <c r="H98">
        <v>0</v>
      </c>
      <c r="I98">
        <v>36</v>
      </c>
      <c r="J98">
        <v>8</v>
      </c>
      <c r="K98">
        <v>0</v>
      </c>
      <c r="L98">
        <v>8</v>
      </c>
      <c r="M98">
        <v>0</v>
      </c>
      <c r="N98">
        <v>0</v>
      </c>
      <c r="O98">
        <v>0</v>
      </c>
      <c r="P98">
        <v>0</v>
      </c>
      <c r="Q98">
        <v>0</v>
      </c>
      <c r="R98">
        <v>0</v>
      </c>
      <c r="S98">
        <v>0.1981981981981982</v>
      </c>
      <c r="T98">
        <v>0</v>
      </c>
      <c r="U98">
        <v>0.1981981981981982</v>
      </c>
    </row>
    <row r="99" spans="1:21" x14ac:dyDescent="0.35">
      <c r="A99" s="24">
        <v>45812</v>
      </c>
      <c r="B99" s="1" t="s">
        <v>21</v>
      </c>
      <c r="C99">
        <v>131</v>
      </c>
      <c r="D99">
        <v>0</v>
      </c>
      <c r="E99">
        <v>131</v>
      </c>
      <c r="F99">
        <v>73</v>
      </c>
      <c r="G99">
        <v>17</v>
      </c>
      <c r="H99">
        <v>0</v>
      </c>
      <c r="I99">
        <v>17</v>
      </c>
      <c r="J99">
        <v>4</v>
      </c>
      <c r="K99">
        <v>0</v>
      </c>
      <c r="L99">
        <v>4</v>
      </c>
      <c r="M99">
        <v>0</v>
      </c>
      <c r="N99">
        <v>0</v>
      </c>
      <c r="O99">
        <v>0</v>
      </c>
      <c r="P99">
        <v>0</v>
      </c>
      <c r="Q99">
        <v>0</v>
      </c>
      <c r="R99">
        <v>0</v>
      </c>
      <c r="S99">
        <v>0.16030534351145037</v>
      </c>
      <c r="T99">
        <v>0</v>
      </c>
      <c r="U99">
        <v>0.16030534351145037</v>
      </c>
    </row>
    <row r="100" spans="1:21" x14ac:dyDescent="0.35">
      <c r="A100" s="24">
        <v>45842</v>
      </c>
      <c r="B100" s="1" t="s">
        <v>58</v>
      </c>
      <c r="C100">
        <v>244</v>
      </c>
      <c r="D100">
        <v>0</v>
      </c>
      <c r="E100">
        <v>244</v>
      </c>
      <c r="F100">
        <v>78</v>
      </c>
      <c r="G100">
        <v>112</v>
      </c>
      <c r="H100">
        <v>0</v>
      </c>
      <c r="I100">
        <v>112</v>
      </c>
      <c r="J100">
        <v>7</v>
      </c>
      <c r="K100">
        <v>0</v>
      </c>
      <c r="L100">
        <v>7</v>
      </c>
      <c r="M100">
        <v>0</v>
      </c>
      <c r="N100">
        <v>0</v>
      </c>
      <c r="O100">
        <v>0</v>
      </c>
      <c r="P100">
        <v>0</v>
      </c>
      <c r="Q100">
        <v>0</v>
      </c>
      <c r="R100">
        <v>0</v>
      </c>
      <c r="S100">
        <v>0.48770491803278687</v>
      </c>
      <c r="T100">
        <v>0</v>
      </c>
      <c r="U100">
        <v>0.48770491803278687</v>
      </c>
    </row>
    <row r="101" spans="1:21" x14ac:dyDescent="0.35">
      <c r="A101" s="24">
        <v>45873</v>
      </c>
      <c r="B101" s="1" t="s">
        <v>66</v>
      </c>
      <c r="C101">
        <v>1304</v>
      </c>
      <c r="D101">
        <v>0</v>
      </c>
      <c r="E101">
        <v>1304</v>
      </c>
      <c r="F101">
        <v>701</v>
      </c>
      <c r="G101">
        <v>227</v>
      </c>
      <c r="H101">
        <v>0</v>
      </c>
      <c r="I101">
        <v>227</v>
      </c>
      <c r="J101">
        <v>23</v>
      </c>
      <c r="K101">
        <v>0</v>
      </c>
      <c r="L101">
        <v>23</v>
      </c>
      <c r="M101">
        <v>0</v>
      </c>
      <c r="N101">
        <v>0</v>
      </c>
      <c r="O101">
        <v>0</v>
      </c>
      <c r="P101">
        <v>0</v>
      </c>
      <c r="Q101">
        <v>0</v>
      </c>
      <c r="R101">
        <v>0</v>
      </c>
      <c r="S101">
        <v>0.19171779141104295</v>
      </c>
      <c r="T101">
        <v>0</v>
      </c>
      <c r="U101">
        <v>0.19171779141104295</v>
      </c>
    </row>
    <row r="102" spans="1:21" x14ac:dyDescent="0.35">
      <c r="A102" s="24">
        <v>45904</v>
      </c>
      <c r="B102" s="1" t="s">
        <v>20</v>
      </c>
      <c r="C102">
        <v>1250</v>
      </c>
      <c r="D102">
        <v>0</v>
      </c>
      <c r="E102">
        <v>1250</v>
      </c>
      <c r="F102">
        <v>648</v>
      </c>
      <c r="G102">
        <v>204</v>
      </c>
      <c r="H102">
        <v>0</v>
      </c>
      <c r="I102">
        <v>204</v>
      </c>
      <c r="J102">
        <v>17</v>
      </c>
      <c r="K102">
        <v>0</v>
      </c>
      <c r="L102">
        <v>17</v>
      </c>
      <c r="M102">
        <v>1</v>
      </c>
      <c r="N102">
        <v>0</v>
      </c>
      <c r="O102">
        <v>1</v>
      </c>
      <c r="P102">
        <v>2</v>
      </c>
      <c r="Q102">
        <v>0</v>
      </c>
      <c r="R102">
        <v>2</v>
      </c>
      <c r="S102">
        <v>0.1792</v>
      </c>
      <c r="T102">
        <v>0</v>
      </c>
      <c r="U102">
        <v>0.1792</v>
      </c>
    </row>
    <row r="103" spans="1:21" x14ac:dyDescent="0.35">
      <c r="A103" s="24">
        <v>45934</v>
      </c>
      <c r="B103" s="1" t="s">
        <v>51</v>
      </c>
      <c r="C103">
        <v>451</v>
      </c>
      <c r="D103">
        <v>0</v>
      </c>
      <c r="E103">
        <v>451</v>
      </c>
      <c r="F103">
        <v>217</v>
      </c>
      <c r="G103">
        <v>37</v>
      </c>
      <c r="H103">
        <v>0</v>
      </c>
      <c r="I103">
        <v>37</v>
      </c>
      <c r="J103">
        <v>3</v>
      </c>
      <c r="K103">
        <v>0</v>
      </c>
      <c r="L103">
        <v>3</v>
      </c>
      <c r="M103">
        <v>0</v>
      </c>
      <c r="N103">
        <v>0</v>
      </c>
      <c r="O103">
        <v>0</v>
      </c>
      <c r="P103">
        <v>0</v>
      </c>
      <c r="Q103">
        <v>0</v>
      </c>
      <c r="R103">
        <v>0</v>
      </c>
      <c r="S103">
        <v>8.8691796008869186E-2</v>
      </c>
      <c r="T103">
        <v>0</v>
      </c>
      <c r="U103">
        <v>8.8691796008869186E-2</v>
      </c>
    </row>
    <row r="104" spans="1:21" x14ac:dyDescent="0.35">
      <c r="A104" s="24">
        <v>45965</v>
      </c>
      <c r="B104" s="1" t="s">
        <v>18</v>
      </c>
      <c r="C104">
        <v>361</v>
      </c>
      <c r="D104">
        <v>0</v>
      </c>
      <c r="E104">
        <v>361</v>
      </c>
      <c r="F104">
        <v>147</v>
      </c>
      <c r="G104">
        <v>46</v>
      </c>
      <c r="H104">
        <v>0</v>
      </c>
      <c r="I104">
        <v>46</v>
      </c>
      <c r="J104">
        <v>2</v>
      </c>
      <c r="K104">
        <v>0</v>
      </c>
      <c r="L104">
        <v>2</v>
      </c>
      <c r="M104">
        <v>0</v>
      </c>
      <c r="N104">
        <v>0</v>
      </c>
      <c r="O104">
        <v>0</v>
      </c>
      <c r="P104">
        <v>0</v>
      </c>
      <c r="Q104">
        <v>0</v>
      </c>
      <c r="R104">
        <v>0</v>
      </c>
      <c r="S104">
        <v>0.1329639889196676</v>
      </c>
      <c r="T104">
        <v>0</v>
      </c>
      <c r="U104">
        <v>0.1329639889196676</v>
      </c>
    </row>
    <row r="105" spans="1:21" x14ac:dyDescent="0.35">
      <c r="A105" s="24">
        <v>45995</v>
      </c>
      <c r="B105" s="1" t="s">
        <v>55</v>
      </c>
      <c r="C105">
        <v>481</v>
      </c>
      <c r="D105">
        <v>0</v>
      </c>
      <c r="E105">
        <v>481</v>
      </c>
      <c r="F105">
        <v>230</v>
      </c>
      <c r="G105">
        <v>56</v>
      </c>
      <c r="H105">
        <v>0</v>
      </c>
      <c r="I105">
        <v>56</v>
      </c>
      <c r="J105">
        <v>3</v>
      </c>
      <c r="K105">
        <v>0</v>
      </c>
      <c r="L105">
        <v>3</v>
      </c>
      <c r="M105">
        <v>0</v>
      </c>
      <c r="N105">
        <v>0</v>
      </c>
      <c r="O105">
        <v>0</v>
      </c>
      <c r="P105">
        <v>0</v>
      </c>
      <c r="Q105">
        <v>0</v>
      </c>
      <c r="R105">
        <v>0</v>
      </c>
      <c r="S105">
        <v>0.12266112266112267</v>
      </c>
      <c r="T105">
        <v>0</v>
      </c>
      <c r="U105">
        <v>0.12266112266112267</v>
      </c>
    </row>
    <row r="106" spans="1:21" x14ac:dyDescent="0.35">
      <c r="A106" s="24" t="s">
        <v>642</v>
      </c>
      <c r="B106" s="1" t="s">
        <v>21</v>
      </c>
      <c r="C106">
        <v>323</v>
      </c>
      <c r="D106">
        <v>0</v>
      </c>
      <c r="E106">
        <v>323</v>
      </c>
      <c r="F106">
        <v>175</v>
      </c>
      <c r="G106">
        <v>25</v>
      </c>
      <c r="H106">
        <v>0</v>
      </c>
      <c r="I106">
        <v>25</v>
      </c>
      <c r="J106">
        <v>3</v>
      </c>
      <c r="K106">
        <v>0</v>
      </c>
      <c r="L106">
        <v>3</v>
      </c>
      <c r="M106">
        <v>-1</v>
      </c>
      <c r="N106">
        <v>0</v>
      </c>
      <c r="O106">
        <v>-1</v>
      </c>
      <c r="P106">
        <v>0</v>
      </c>
      <c r="Q106">
        <v>0</v>
      </c>
      <c r="R106">
        <v>0</v>
      </c>
      <c r="S106">
        <v>8.3591331269349839E-2</v>
      </c>
      <c r="T106">
        <v>0</v>
      </c>
      <c r="U106">
        <v>8.3591331269349839E-2</v>
      </c>
    </row>
    <row r="107" spans="1:21" x14ac:dyDescent="0.35">
      <c r="A107" s="24" t="s">
        <v>600</v>
      </c>
      <c r="B107" s="1" t="s">
        <v>58</v>
      </c>
      <c r="C107">
        <v>486</v>
      </c>
      <c r="D107">
        <v>0</v>
      </c>
      <c r="E107">
        <v>486</v>
      </c>
      <c r="F107">
        <v>223</v>
      </c>
      <c r="G107">
        <v>28</v>
      </c>
      <c r="H107">
        <v>0</v>
      </c>
      <c r="I107">
        <v>28</v>
      </c>
      <c r="J107">
        <v>12</v>
      </c>
      <c r="K107">
        <v>0</v>
      </c>
      <c r="L107">
        <v>12</v>
      </c>
      <c r="M107">
        <v>2</v>
      </c>
      <c r="N107">
        <v>0</v>
      </c>
      <c r="O107">
        <v>2</v>
      </c>
      <c r="P107">
        <v>0</v>
      </c>
      <c r="Q107">
        <v>0</v>
      </c>
      <c r="R107">
        <v>0</v>
      </c>
      <c r="S107">
        <v>8.6419753086419748E-2</v>
      </c>
      <c r="T107">
        <v>0</v>
      </c>
      <c r="U107">
        <v>8.6419753086419748E-2</v>
      </c>
    </row>
    <row r="108" spans="1:21" x14ac:dyDescent="0.35">
      <c r="A108" s="24" t="s">
        <v>643</v>
      </c>
      <c r="B108" s="1" t="s">
        <v>66</v>
      </c>
      <c r="C108">
        <v>350</v>
      </c>
      <c r="D108">
        <v>0</v>
      </c>
      <c r="E108">
        <v>350</v>
      </c>
      <c r="F108">
        <v>184</v>
      </c>
      <c r="G108">
        <v>35</v>
      </c>
      <c r="H108">
        <v>0</v>
      </c>
      <c r="I108">
        <v>35</v>
      </c>
      <c r="J108">
        <v>5</v>
      </c>
      <c r="K108">
        <v>0</v>
      </c>
      <c r="L108">
        <v>5</v>
      </c>
      <c r="M108">
        <v>2</v>
      </c>
      <c r="N108">
        <v>0</v>
      </c>
      <c r="O108">
        <v>2</v>
      </c>
      <c r="P108">
        <v>0</v>
      </c>
      <c r="Q108">
        <v>0</v>
      </c>
      <c r="R108">
        <v>0</v>
      </c>
      <c r="S108">
        <v>0.12</v>
      </c>
      <c r="T108">
        <v>0</v>
      </c>
      <c r="U108">
        <v>0.12</v>
      </c>
    </row>
    <row r="109" spans="1:21" x14ac:dyDescent="0.35">
      <c r="A109" s="24" t="s">
        <v>644</v>
      </c>
      <c r="B109" s="1" t="s">
        <v>20</v>
      </c>
      <c r="C109">
        <v>513</v>
      </c>
      <c r="D109">
        <v>0</v>
      </c>
      <c r="E109">
        <v>513</v>
      </c>
      <c r="F109">
        <v>134</v>
      </c>
      <c r="G109">
        <v>54</v>
      </c>
      <c r="H109">
        <v>0</v>
      </c>
      <c r="I109">
        <v>54</v>
      </c>
      <c r="J109">
        <v>3</v>
      </c>
      <c r="K109">
        <v>0</v>
      </c>
      <c r="L109">
        <v>3</v>
      </c>
      <c r="M109">
        <v>0</v>
      </c>
      <c r="N109">
        <v>0</v>
      </c>
      <c r="O109">
        <v>0</v>
      </c>
      <c r="P109">
        <v>0</v>
      </c>
      <c r="Q109">
        <v>0</v>
      </c>
      <c r="R109">
        <v>0</v>
      </c>
      <c r="S109">
        <v>0.1111111111111111</v>
      </c>
      <c r="T109">
        <v>0</v>
      </c>
      <c r="U109">
        <v>0.1111111111111111</v>
      </c>
    </row>
    <row r="110" spans="1:21" x14ac:dyDescent="0.35">
      <c r="A110" s="24" t="s">
        <v>645</v>
      </c>
      <c r="B110" s="1" t="s">
        <v>51</v>
      </c>
      <c r="C110">
        <v>292</v>
      </c>
      <c r="D110">
        <v>0</v>
      </c>
      <c r="E110">
        <v>292</v>
      </c>
      <c r="F110">
        <v>91</v>
      </c>
      <c r="G110">
        <v>38</v>
      </c>
      <c r="H110">
        <v>0</v>
      </c>
      <c r="I110">
        <v>38</v>
      </c>
      <c r="J110">
        <v>0</v>
      </c>
      <c r="K110">
        <v>0</v>
      </c>
      <c r="L110">
        <v>0</v>
      </c>
      <c r="M110">
        <v>0</v>
      </c>
      <c r="N110">
        <v>0</v>
      </c>
      <c r="O110">
        <v>0</v>
      </c>
      <c r="P110">
        <v>0</v>
      </c>
      <c r="Q110">
        <v>0</v>
      </c>
      <c r="R110">
        <v>0</v>
      </c>
      <c r="S110">
        <v>0.13013698630136986</v>
      </c>
      <c r="T110">
        <v>0</v>
      </c>
      <c r="U110">
        <v>0.13013698630136986</v>
      </c>
    </row>
    <row r="111" spans="1:21" x14ac:dyDescent="0.35">
      <c r="A111" s="24" t="s">
        <v>646</v>
      </c>
      <c r="B111" s="1" t="s">
        <v>18</v>
      </c>
      <c r="C111">
        <v>343</v>
      </c>
      <c r="D111">
        <v>0</v>
      </c>
      <c r="E111">
        <v>343</v>
      </c>
      <c r="F111">
        <v>119</v>
      </c>
      <c r="G111">
        <v>21</v>
      </c>
      <c r="H111">
        <v>0</v>
      </c>
      <c r="I111">
        <v>21</v>
      </c>
      <c r="J111">
        <v>3</v>
      </c>
      <c r="K111">
        <v>0</v>
      </c>
      <c r="L111">
        <v>3</v>
      </c>
      <c r="M111">
        <v>0</v>
      </c>
      <c r="N111">
        <v>0</v>
      </c>
      <c r="O111">
        <v>0</v>
      </c>
      <c r="P111">
        <v>0</v>
      </c>
      <c r="Q111">
        <v>0</v>
      </c>
      <c r="R111">
        <v>0</v>
      </c>
      <c r="S111">
        <v>6.9970845481049565E-2</v>
      </c>
      <c r="T111">
        <v>0</v>
      </c>
      <c r="U111">
        <v>6.9970845481049565E-2</v>
      </c>
    </row>
    <row r="112" spans="1:21" x14ac:dyDescent="0.35">
      <c r="A112" s="24" t="s">
        <v>647</v>
      </c>
      <c r="B112" s="1" t="s">
        <v>55</v>
      </c>
      <c r="C112">
        <v>223</v>
      </c>
      <c r="D112">
        <v>0</v>
      </c>
      <c r="E112">
        <v>223</v>
      </c>
      <c r="F112">
        <v>98</v>
      </c>
      <c r="G112">
        <v>14</v>
      </c>
      <c r="H112">
        <v>0</v>
      </c>
      <c r="I112">
        <v>14</v>
      </c>
      <c r="J112">
        <v>1</v>
      </c>
      <c r="K112">
        <v>0</v>
      </c>
      <c r="L112">
        <v>1</v>
      </c>
      <c r="M112">
        <v>-3</v>
      </c>
      <c r="N112">
        <v>0</v>
      </c>
      <c r="O112">
        <v>-3</v>
      </c>
      <c r="P112">
        <v>0</v>
      </c>
      <c r="Q112">
        <v>0</v>
      </c>
      <c r="R112">
        <v>0</v>
      </c>
      <c r="S112">
        <v>5.3811659192825115E-2</v>
      </c>
      <c r="T112">
        <v>0</v>
      </c>
      <c r="U112">
        <v>5.3811659192825115E-2</v>
      </c>
    </row>
    <row r="113" spans="1:21" x14ac:dyDescent="0.35">
      <c r="A113" s="24" t="s">
        <v>99</v>
      </c>
      <c r="B113" s="1" t="s">
        <v>21</v>
      </c>
      <c r="C113">
        <v>390</v>
      </c>
      <c r="D113">
        <v>0</v>
      </c>
      <c r="E113">
        <v>390</v>
      </c>
      <c r="F113">
        <v>180</v>
      </c>
      <c r="G113">
        <v>15</v>
      </c>
      <c r="H113">
        <v>0</v>
      </c>
      <c r="I113">
        <v>15</v>
      </c>
      <c r="J113">
        <v>9</v>
      </c>
      <c r="K113">
        <v>0</v>
      </c>
      <c r="L113">
        <v>9</v>
      </c>
      <c r="M113">
        <v>0</v>
      </c>
      <c r="N113">
        <v>0</v>
      </c>
      <c r="O113">
        <v>0</v>
      </c>
      <c r="P113">
        <v>0</v>
      </c>
      <c r="Q113">
        <v>0</v>
      </c>
      <c r="R113">
        <v>0</v>
      </c>
      <c r="S113">
        <v>6.1538461538461542E-2</v>
      </c>
      <c r="T113">
        <v>0</v>
      </c>
      <c r="U113">
        <v>6.1538461538461542E-2</v>
      </c>
    </row>
    <row r="114" spans="1:21" x14ac:dyDescent="0.35">
      <c r="A114" s="24" t="s">
        <v>648</v>
      </c>
      <c r="B114" s="1" t="s">
        <v>58</v>
      </c>
      <c r="C114">
        <v>432</v>
      </c>
      <c r="D114">
        <v>0</v>
      </c>
      <c r="E114">
        <v>432</v>
      </c>
      <c r="F114">
        <v>122</v>
      </c>
      <c r="G114">
        <v>32</v>
      </c>
      <c r="H114">
        <v>0</v>
      </c>
      <c r="I114">
        <v>32</v>
      </c>
      <c r="J114">
        <v>7</v>
      </c>
      <c r="K114">
        <v>0</v>
      </c>
      <c r="L114">
        <v>7</v>
      </c>
      <c r="M114">
        <v>0</v>
      </c>
      <c r="N114">
        <v>0</v>
      </c>
      <c r="O114">
        <v>0</v>
      </c>
      <c r="P114">
        <v>0</v>
      </c>
      <c r="Q114">
        <v>0</v>
      </c>
      <c r="R114">
        <v>0</v>
      </c>
      <c r="S114">
        <v>9.0277777777777776E-2</v>
      </c>
      <c r="T114">
        <v>0</v>
      </c>
      <c r="U114">
        <v>9.0277777777777776E-2</v>
      </c>
    </row>
    <row r="115" spans="1:21" x14ac:dyDescent="0.35">
      <c r="A115" s="24" t="s">
        <v>649</v>
      </c>
      <c r="B115" s="1" t="s">
        <v>66</v>
      </c>
      <c r="C115">
        <v>547</v>
      </c>
      <c r="D115">
        <v>0</v>
      </c>
      <c r="E115">
        <v>547</v>
      </c>
      <c r="F115">
        <v>136</v>
      </c>
      <c r="G115">
        <v>38</v>
      </c>
      <c r="H115">
        <v>0</v>
      </c>
      <c r="I115">
        <v>38</v>
      </c>
      <c r="J115">
        <v>5</v>
      </c>
      <c r="K115">
        <v>0</v>
      </c>
      <c r="L115">
        <v>5</v>
      </c>
      <c r="M115">
        <v>0</v>
      </c>
      <c r="N115">
        <v>0</v>
      </c>
      <c r="O115">
        <v>0</v>
      </c>
      <c r="P115">
        <v>0</v>
      </c>
      <c r="Q115">
        <v>0</v>
      </c>
      <c r="R115">
        <v>0</v>
      </c>
      <c r="S115">
        <v>7.8610603290676415E-2</v>
      </c>
      <c r="T115">
        <v>0</v>
      </c>
      <c r="U115">
        <v>7.8610603290676415E-2</v>
      </c>
    </row>
    <row r="116" spans="1:21" x14ac:dyDescent="0.35">
      <c r="A116" s="24" t="s">
        <v>650</v>
      </c>
      <c r="B116" s="1" t="s">
        <v>20</v>
      </c>
      <c r="C116">
        <v>479</v>
      </c>
      <c r="D116">
        <v>0</v>
      </c>
      <c r="E116">
        <v>479</v>
      </c>
      <c r="F116">
        <v>124</v>
      </c>
      <c r="G116">
        <v>32</v>
      </c>
      <c r="H116">
        <v>0</v>
      </c>
      <c r="I116">
        <v>32</v>
      </c>
      <c r="J116">
        <v>2</v>
      </c>
      <c r="K116">
        <v>0</v>
      </c>
      <c r="L116">
        <v>2</v>
      </c>
      <c r="M116">
        <v>0</v>
      </c>
      <c r="N116">
        <v>0</v>
      </c>
      <c r="O116">
        <v>0</v>
      </c>
      <c r="P116">
        <v>0</v>
      </c>
      <c r="Q116">
        <v>0</v>
      </c>
      <c r="R116">
        <v>0</v>
      </c>
      <c r="S116">
        <v>7.0981210855949897E-2</v>
      </c>
      <c r="T116">
        <v>0</v>
      </c>
      <c r="U116">
        <v>7.0981210855949897E-2</v>
      </c>
    </row>
    <row r="117" spans="1:21" x14ac:dyDescent="0.35">
      <c r="A117" s="24" t="s">
        <v>651</v>
      </c>
      <c r="B117" s="1" t="s">
        <v>51</v>
      </c>
      <c r="C117">
        <v>292</v>
      </c>
      <c r="D117">
        <v>0</v>
      </c>
      <c r="E117">
        <v>292</v>
      </c>
      <c r="F117">
        <v>102</v>
      </c>
      <c r="G117">
        <v>7</v>
      </c>
      <c r="H117">
        <v>0</v>
      </c>
      <c r="I117">
        <v>7</v>
      </c>
      <c r="J117">
        <v>1</v>
      </c>
      <c r="K117">
        <v>0</v>
      </c>
      <c r="L117">
        <v>1</v>
      </c>
      <c r="M117">
        <v>0</v>
      </c>
      <c r="N117">
        <v>0</v>
      </c>
      <c r="O117">
        <v>0</v>
      </c>
      <c r="P117">
        <v>0</v>
      </c>
      <c r="Q117">
        <v>0</v>
      </c>
      <c r="R117">
        <v>0</v>
      </c>
      <c r="S117">
        <v>2.7397260273972601E-2</v>
      </c>
      <c r="T117">
        <v>0</v>
      </c>
      <c r="U117">
        <v>2.7397260273972601E-2</v>
      </c>
    </row>
    <row r="118" spans="1:21" x14ac:dyDescent="0.35">
      <c r="A118" s="24" t="s">
        <v>601</v>
      </c>
      <c r="B118" s="1" t="s">
        <v>18</v>
      </c>
      <c r="C118">
        <v>1590</v>
      </c>
      <c r="D118">
        <v>0</v>
      </c>
      <c r="E118">
        <v>1590</v>
      </c>
      <c r="F118">
        <v>727</v>
      </c>
      <c r="G118">
        <v>476</v>
      </c>
      <c r="H118">
        <v>0</v>
      </c>
      <c r="I118">
        <v>476</v>
      </c>
      <c r="J118">
        <v>47</v>
      </c>
      <c r="K118">
        <v>0</v>
      </c>
      <c r="L118">
        <v>47</v>
      </c>
      <c r="M118">
        <v>1</v>
      </c>
      <c r="N118">
        <v>0</v>
      </c>
      <c r="O118">
        <v>1</v>
      </c>
      <c r="P118">
        <v>0</v>
      </c>
      <c r="Q118">
        <v>0</v>
      </c>
      <c r="R118">
        <v>0</v>
      </c>
      <c r="S118">
        <v>0.32955974842767294</v>
      </c>
      <c r="T118">
        <v>0</v>
      </c>
      <c r="U118">
        <v>0.32955974842767294</v>
      </c>
    </row>
    <row r="119" spans="1:21" x14ac:dyDescent="0.35">
      <c r="A119" s="24" t="s">
        <v>652</v>
      </c>
      <c r="B119" s="1" t="s">
        <v>55</v>
      </c>
      <c r="C119">
        <v>722</v>
      </c>
      <c r="D119">
        <v>0</v>
      </c>
      <c r="E119">
        <v>722</v>
      </c>
      <c r="F119">
        <v>324</v>
      </c>
      <c r="G119">
        <v>145</v>
      </c>
      <c r="H119">
        <v>0</v>
      </c>
      <c r="I119">
        <v>145</v>
      </c>
      <c r="J119">
        <v>10</v>
      </c>
      <c r="K119">
        <v>0</v>
      </c>
      <c r="L119">
        <v>10</v>
      </c>
      <c r="M119">
        <v>0</v>
      </c>
      <c r="N119">
        <v>0</v>
      </c>
      <c r="O119">
        <v>0</v>
      </c>
      <c r="P119">
        <v>0</v>
      </c>
      <c r="Q119">
        <v>0</v>
      </c>
      <c r="R119">
        <v>0</v>
      </c>
      <c r="S119">
        <v>0.2146814404432133</v>
      </c>
      <c r="T119">
        <v>0</v>
      </c>
      <c r="U119">
        <v>0.2146814404432133</v>
      </c>
    </row>
    <row r="120" spans="1:21" x14ac:dyDescent="0.35">
      <c r="A120" s="24" t="s">
        <v>653</v>
      </c>
      <c r="B120" s="1" t="s">
        <v>21</v>
      </c>
      <c r="C120">
        <v>349</v>
      </c>
      <c r="D120">
        <v>0</v>
      </c>
      <c r="E120">
        <v>349</v>
      </c>
      <c r="F120">
        <v>104</v>
      </c>
      <c r="G120">
        <v>80</v>
      </c>
      <c r="H120">
        <v>0</v>
      </c>
      <c r="I120">
        <v>80</v>
      </c>
      <c r="J120">
        <v>2</v>
      </c>
      <c r="K120">
        <v>0</v>
      </c>
      <c r="L120">
        <v>2</v>
      </c>
      <c r="M120">
        <v>0</v>
      </c>
      <c r="N120">
        <v>0</v>
      </c>
      <c r="O120">
        <v>0</v>
      </c>
      <c r="P120">
        <v>0</v>
      </c>
      <c r="Q120">
        <v>0</v>
      </c>
      <c r="R120">
        <v>0</v>
      </c>
      <c r="S120">
        <v>0.23495702005730659</v>
      </c>
      <c r="T120">
        <v>0</v>
      </c>
      <c r="U120">
        <v>0.23495702005730659</v>
      </c>
    </row>
    <row r="121" spans="1:21" x14ac:dyDescent="0.35">
      <c r="A121" s="24" t="s">
        <v>654</v>
      </c>
      <c r="B121" s="1" t="s">
        <v>58</v>
      </c>
      <c r="C121">
        <v>318</v>
      </c>
      <c r="D121">
        <v>0</v>
      </c>
      <c r="E121">
        <v>318</v>
      </c>
      <c r="F121">
        <v>116</v>
      </c>
      <c r="G121">
        <v>87</v>
      </c>
      <c r="H121">
        <v>0</v>
      </c>
      <c r="I121">
        <v>87</v>
      </c>
      <c r="J121">
        <v>6</v>
      </c>
      <c r="K121">
        <v>0</v>
      </c>
      <c r="L121">
        <v>6</v>
      </c>
      <c r="M121">
        <v>0</v>
      </c>
      <c r="N121">
        <v>0</v>
      </c>
      <c r="O121">
        <v>0</v>
      </c>
      <c r="P121">
        <v>0</v>
      </c>
      <c r="Q121">
        <v>0</v>
      </c>
      <c r="R121">
        <v>0</v>
      </c>
      <c r="S121">
        <v>0.29245283018867924</v>
      </c>
      <c r="T121">
        <v>0</v>
      </c>
      <c r="U121">
        <v>0.29245283018867924</v>
      </c>
    </row>
    <row r="122" spans="1:21" x14ac:dyDescent="0.35">
      <c r="A122" s="24" t="s">
        <v>655</v>
      </c>
      <c r="B122" s="1" t="s">
        <v>66</v>
      </c>
      <c r="C122">
        <v>258</v>
      </c>
      <c r="D122">
        <v>0</v>
      </c>
      <c r="E122">
        <v>258</v>
      </c>
      <c r="F122">
        <v>78</v>
      </c>
      <c r="G122">
        <v>31</v>
      </c>
      <c r="H122">
        <v>0</v>
      </c>
      <c r="I122">
        <v>31</v>
      </c>
      <c r="J122">
        <v>-8</v>
      </c>
      <c r="K122">
        <v>0</v>
      </c>
      <c r="L122">
        <v>-8</v>
      </c>
      <c r="M122">
        <v>0</v>
      </c>
      <c r="N122">
        <v>0</v>
      </c>
      <c r="O122">
        <v>0</v>
      </c>
      <c r="P122">
        <v>0</v>
      </c>
      <c r="Q122">
        <v>0</v>
      </c>
      <c r="R122">
        <v>0</v>
      </c>
      <c r="S122">
        <v>8.9147286821705432E-2</v>
      </c>
      <c r="T122">
        <v>0</v>
      </c>
      <c r="U122">
        <v>8.9147286821705432E-2</v>
      </c>
    </row>
    <row r="123" spans="1:21" x14ac:dyDescent="0.35">
      <c r="A123" s="24" t="s">
        <v>602</v>
      </c>
      <c r="B123" s="1" t="s">
        <v>20</v>
      </c>
      <c r="C123">
        <v>784</v>
      </c>
      <c r="D123">
        <v>0</v>
      </c>
      <c r="E123">
        <v>784</v>
      </c>
      <c r="F123">
        <v>393</v>
      </c>
      <c r="G123">
        <v>49</v>
      </c>
      <c r="H123">
        <v>0</v>
      </c>
      <c r="I123">
        <v>49</v>
      </c>
      <c r="J123">
        <v>9</v>
      </c>
      <c r="K123">
        <v>0</v>
      </c>
      <c r="L123">
        <v>9</v>
      </c>
      <c r="M123">
        <v>0</v>
      </c>
      <c r="N123">
        <v>0</v>
      </c>
      <c r="O123">
        <v>0</v>
      </c>
      <c r="P123">
        <v>0</v>
      </c>
      <c r="Q123">
        <v>0</v>
      </c>
      <c r="R123">
        <v>0</v>
      </c>
      <c r="S123">
        <v>7.3979591836734693E-2</v>
      </c>
      <c r="T123">
        <v>0</v>
      </c>
      <c r="U123">
        <v>7.3979591836734693E-2</v>
      </c>
    </row>
    <row r="124" spans="1:21" x14ac:dyDescent="0.35">
      <c r="A124" s="24">
        <v>45662</v>
      </c>
      <c r="B124" s="1" t="s">
        <v>51</v>
      </c>
      <c r="C124">
        <v>489</v>
      </c>
      <c r="D124">
        <v>0</v>
      </c>
      <c r="E124">
        <v>489</v>
      </c>
      <c r="F124">
        <v>207</v>
      </c>
      <c r="G124">
        <v>54</v>
      </c>
      <c r="H124">
        <v>0</v>
      </c>
      <c r="I124">
        <v>54</v>
      </c>
      <c r="J124">
        <v>9</v>
      </c>
      <c r="K124">
        <v>0</v>
      </c>
      <c r="L124">
        <v>9</v>
      </c>
      <c r="M124">
        <v>2</v>
      </c>
      <c r="N124">
        <v>0</v>
      </c>
      <c r="O124">
        <v>2</v>
      </c>
      <c r="P124">
        <v>0</v>
      </c>
      <c r="Q124">
        <v>0</v>
      </c>
      <c r="R124">
        <v>0</v>
      </c>
      <c r="S124">
        <v>0.1329243353783231</v>
      </c>
      <c r="T124">
        <v>0</v>
      </c>
      <c r="U124">
        <v>0.1329243353783231</v>
      </c>
    </row>
    <row r="125" spans="1:21" x14ac:dyDescent="0.35">
      <c r="A125" s="24">
        <v>45693</v>
      </c>
      <c r="B125" s="1" t="s">
        <v>18</v>
      </c>
      <c r="C125">
        <v>206</v>
      </c>
      <c r="D125">
        <v>0</v>
      </c>
      <c r="E125">
        <v>206</v>
      </c>
      <c r="F125">
        <v>99</v>
      </c>
      <c r="G125">
        <v>22</v>
      </c>
      <c r="H125">
        <v>0</v>
      </c>
      <c r="I125">
        <v>22</v>
      </c>
      <c r="J125">
        <v>1</v>
      </c>
      <c r="K125">
        <v>0</v>
      </c>
      <c r="L125">
        <v>1</v>
      </c>
      <c r="M125">
        <v>1</v>
      </c>
      <c r="N125">
        <v>0</v>
      </c>
      <c r="O125">
        <v>1</v>
      </c>
      <c r="P125">
        <v>0</v>
      </c>
      <c r="Q125">
        <v>0</v>
      </c>
      <c r="R125">
        <v>0</v>
      </c>
      <c r="S125">
        <v>0.11650485436893204</v>
      </c>
      <c r="T125">
        <v>0</v>
      </c>
      <c r="U125">
        <v>0.11650485436893204</v>
      </c>
    </row>
    <row r="126" spans="1:21" x14ac:dyDescent="0.35">
      <c r="A126" s="24">
        <v>45721</v>
      </c>
      <c r="B126" s="1" t="s">
        <v>55</v>
      </c>
      <c r="C126">
        <v>216</v>
      </c>
      <c r="D126">
        <v>0</v>
      </c>
      <c r="E126">
        <v>216</v>
      </c>
      <c r="F126">
        <v>61</v>
      </c>
      <c r="G126">
        <v>16</v>
      </c>
      <c r="H126">
        <v>0</v>
      </c>
      <c r="I126">
        <v>16</v>
      </c>
      <c r="J126">
        <v>0</v>
      </c>
      <c r="K126">
        <v>0</v>
      </c>
      <c r="L126">
        <v>0</v>
      </c>
      <c r="M126">
        <v>0</v>
      </c>
      <c r="N126">
        <v>0</v>
      </c>
      <c r="O126">
        <v>0</v>
      </c>
      <c r="P126">
        <v>0</v>
      </c>
      <c r="Q126">
        <v>0</v>
      </c>
      <c r="R126">
        <v>0</v>
      </c>
      <c r="S126">
        <v>7.407407407407407E-2</v>
      </c>
      <c r="T126">
        <v>0</v>
      </c>
      <c r="U126">
        <v>7.407407407407407E-2</v>
      </c>
    </row>
    <row r="127" spans="1:21" x14ac:dyDescent="0.35">
      <c r="A127" s="24">
        <v>45752</v>
      </c>
      <c r="B127" s="1" t="s">
        <v>21</v>
      </c>
      <c r="C127">
        <v>145</v>
      </c>
      <c r="D127">
        <v>0</v>
      </c>
      <c r="E127">
        <v>145</v>
      </c>
      <c r="F127">
        <v>42</v>
      </c>
      <c r="G127">
        <v>28</v>
      </c>
      <c r="H127">
        <v>0</v>
      </c>
      <c r="I127">
        <v>28</v>
      </c>
      <c r="J127">
        <v>-8</v>
      </c>
      <c r="K127">
        <v>0</v>
      </c>
      <c r="L127">
        <v>-8</v>
      </c>
      <c r="M127">
        <v>0</v>
      </c>
      <c r="N127">
        <v>0</v>
      </c>
      <c r="O127">
        <v>0</v>
      </c>
      <c r="P127">
        <v>0</v>
      </c>
      <c r="Q127">
        <v>0</v>
      </c>
      <c r="R127">
        <v>0</v>
      </c>
      <c r="S127">
        <v>0.13793103448275862</v>
      </c>
      <c r="T127">
        <v>0</v>
      </c>
      <c r="U127">
        <v>0.13793103448275862</v>
      </c>
    </row>
    <row r="128" spans="1:21" x14ac:dyDescent="0.35">
      <c r="A128" s="24">
        <v>45782</v>
      </c>
      <c r="B128" s="1" t="s">
        <v>58</v>
      </c>
      <c r="C128">
        <v>355</v>
      </c>
      <c r="D128">
        <v>0</v>
      </c>
      <c r="E128">
        <v>355</v>
      </c>
      <c r="F128">
        <v>86</v>
      </c>
      <c r="G128">
        <v>55</v>
      </c>
      <c r="H128">
        <v>0</v>
      </c>
      <c r="I128">
        <v>55</v>
      </c>
      <c r="J128">
        <v>2</v>
      </c>
      <c r="K128">
        <v>0</v>
      </c>
      <c r="L128">
        <v>2</v>
      </c>
      <c r="M128">
        <v>0</v>
      </c>
      <c r="N128">
        <v>0</v>
      </c>
      <c r="O128">
        <v>0</v>
      </c>
      <c r="P128">
        <v>0</v>
      </c>
      <c r="Q128">
        <v>0</v>
      </c>
      <c r="R128">
        <v>0</v>
      </c>
      <c r="S128">
        <v>0.16056338028169015</v>
      </c>
      <c r="T128">
        <v>0</v>
      </c>
      <c r="U128">
        <v>0.16056338028169015</v>
      </c>
    </row>
    <row r="129" spans="1:21" x14ac:dyDescent="0.35">
      <c r="A129" s="24">
        <v>45813</v>
      </c>
      <c r="B129" s="1" t="s">
        <v>66</v>
      </c>
      <c r="C129">
        <v>153</v>
      </c>
      <c r="D129">
        <v>0</v>
      </c>
      <c r="E129">
        <v>153</v>
      </c>
      <c r="F129">
        <v>53</v>
      </c>
      <c r="G129">
        <v>24</v>
      </c>
      <c r="H129">
        <v>0</v>
      </c>
      <c r="I129">
        <v>24</v>
      </c>
      <c r="J129">
        <v>0</v>
      </c>
      <c r="K129">
        <v>0</v>
      </c>
      <c r="L129">
        <v>0</v>
      </c>
      <c r="M129">
        <v>0</v>
      </c>
      <c r="N129">
        <v>0</v>
      </c>
      <c r="O129">
        <v>0</v>
      </c>
      <c r="P129">
        <v>0</v>
      </c>
      <c r="Q129">
        <v>0</v>
      </c>
      <c r="R129">
        <v>0</v>
      </c>
      <c r="S129">
        <v>0.15686274509803921</v>
      </c>
      <c r="T129">
        <v>0</v>
      </c>
      <c r="U129">
        <v>0.15686274509803921</v>
      </c>
    </row>
    <row r="130" spans="1:21" x14ac:dyDescent="0.35">
      <c r="A130" s="24">
        <v>45843</v>
      </c>
      <c r="B130" s="1" t="s">
        <v>20</v>
      </c>
      <c r="C130">
        <v>144</v>
      </c>
      <c r="D130">
        <v>0</v>
      </c>
      <c r="E130">
        <v>144</v>
      </c>
      <c r="F130">
        <v>39</v>
      </c>
      <c r="G130">
        <v>5</v>
      </c>
      <c r="H130">
        <v>0</v>
      </c>
      <c r="I130">
        <v>5</v>
      </c>
      <c r="J130">
        <v>0</v>
      </c>
      <c r="K130">
        <v>0</v>
      </c>
      <c r="L130">
        <v>0</v>
      </c>
      <c r="M130">
        <v>0</v>
      </c>
      <c r="N130">
        <v>0</v>
      </c>
      <c r="O130">
        <v>0</v>
      </c>
      <c r="P130">
        <v>0</v>
      </c>
      <c r="Q130">
        <v>0</v>
      </c>
      <c r="R130">
        <v>0</v>
      </c>
      <c r="S130">
        <v>3.4722222222222224E-2</v>
      </c>
      <c r="T130">
        <v>0</v>
      </c>
      <c r="U130">
        <v>3.4722222222222224E-2</v>
      </c>
    </row>
    <row r="131" spans="1:21" x14ac:dyDescent="0.35">
      <c r="A131" s="24">
        <v>45874</v>
      </c>
      <c r="B131" s="1" t="s">
        <v>51</v>
      </c>
      <c r="C131">
        <v>197</v>
      </c>
      <c r="D131">
        <v>0</v>
      </c>
      <c r="E131">
        <v>197</v>
      </c>
      <c r="F131">
        <v>42</v>
      </c>
      <c r="G131">
        <v>18</v>
      </c>
      <c r="H131">
        <v>0</v>
      </c>
      <c r="I131">
        <v>18</v>
      </c>
      <c r="J131">
        <v>0</v>
      </c>
      <c r="K131">
        <v>0</v>
      </c>
      <c r="L131">
        <v>0</v>
      </c>
      <c r="M131">
        <v>0</v>
      </c>
      <c r="N131">
        <v>0</v>
      </c>
      <c r="O131">
        <v>0</v>
      </c>
      <c r="P131">
        <v>0</v>
      </c>
      <c r="Q131">
        <v>0</v>
      </c>
      <c r="R131">
        <v>0</v>
      </c>
      <c r="S131">
        <v>9.1370558375634514E-2</v>
      </c>
      <c r="T131">
        <v>0</v>
      </c>
      <c r="U131">
        <v>9.1370558375634514E-2</v>
      </c>
    </row>
    <row r="132" spans="1:21" x14ac:dyDescent="0.35">
      <c r="A132" s="24">
        <v>45905</v>
      </c>
      <c r="B132" s="1" t="s">
        <v>18</v>
      </c>
      <c r="C132">
        <v>125</v>
      </c>
      <c r="D132">
        <v>0</v>
      </c>
      <c r="E132">
        <v>125</v>
      </c>
      <c r="F132">
        <v>32</v>
      </c>
      <c r="G132">
        <v>41</v>
      </c>
      <c r="H132">
        <v>0</v>
      </c>
      <c r="I132">
        <v>41</v>
      </c>
      <c r="J132">
        <v>0</v>
      </c>
      <c r="K132">
        <v>0</v>
      </c>
      <c r="L132">
        <v>0</v>
      </c>
      <c r="M132">
        <v>0</v>
      </c>
      <c r="N132">
        <v>0</v>
      </c>
      <c r="O132">
        <v>0</v>
      </c>
      <c r="P132">
        <v>0</v>
      </c>
      <c r="Q132">
        <v>0</v>
      </c>
      <c r="R132">
        <v>0</v>
      </c>
      <c r="S132">
        <v>0.32800000000000001</v>
      </c>
      <c r="T132">
        <v>0</v>
      </c>
      <c r="U132">
        <v>0.32800000000000001</v>
      </c>
    </row>
    <row r="133" spans="1:21" x14ac:dyDescent="0.35">
      <c r="A133" s="24">
        <v>45935</v>
      </c>
      <c r="B133" s="1" t="s">
        <v>55</v>
      </c>
      <c r="C133">
        <v>95</v>
      </c>
      <c r="D133">
        <v>0</v>
      </c>
      <c r="E133">
        <v>95</v>
      </c>
      <c r="F133">
        <v>35</v>
      </c>
      <c r="G133">
        <v>4</v>
      </c>
      <c r="H133">
        <v>0</v>
      </c>
      <c r="I133">
        <v>4</v>
      </c>
      <c r="J133">
        <v>0</v>
      </c>
      <c r="K133">
        <v>0</v>
      </c>
      <c r="L133">
        <v>0</v>
      </c>
      <c r="M133">
        <v>0</v>
      </c>
      <c r="N133">
        <v>0</v>
      </c>
      <c r="O133">
        <v>0</v>
      </c>
      <c r="P133">
        <v>0</v>
      </c>
      <c r="Q133">
        <v>0</v>
      </c>
      <c r="R133">
        <v>0</v>
      </c>
      <c r="S133">
        <v>4.2105263157894736E-2</v>
      </c>
      <c r="T133">
        <v>0</v>
      </c>
      <c r="U133">
        <v>4.2105263157894736E-2</v>
      </c>
    </row>
    <row r="134" spans="1:21" x14ac:dyDescent="0.35">
      <c r="A134" s="24">
        <v>45966</v>
      </c>
      <c r="B134" s="1" t="s">
        <v>21</v>
      </c>
      <c r="C134">
        <v>216</v>
      </c>
      <c r="D134">
        <v>0</v>
      </c>
      <c r="E134">
        <v>216</v>
      </c>
      <c r="F134">
        <v>73</v>
      </c>
      <c r="G134">
        <v>34</v>
      </c>
      <c r="H134">
        <v>0</v>
      </c>
      <c r="I134">
        <v>34</v>
      </c>
      <c r="J134">
        <v>3</v>
      </c>
      <c r="K134">
        <v>0</v>
      </c>
      <c r="L134">
        <v>3</v>
      </c>
      <c r="M134">
        <v>0</v>
      </c>
      <c r="N134">
        <v>0</v>
      </c>
      <c r="O134">
        <v>0</v>
      </c>
      <c r="P134">
        <v>0</v>
      </c>
      <c r="Q134">
        <v>0</v>
      </c>
      <c r="R134">
        <v>0</v>
      </c>
      <c r="S134">
        <v>0.17129629629629631</v>
      </c>
      <c r="T134">
        <v>0</v>
      </c>
      <c r="U134">
        <v>0.17129629629629631</v>
      </c>
    </row>
    <row r="135" spans="1:21" x14ac:dyDescent="0.35">
      <c r="A135" s="24">
        <v>45996</v>
      </c>
      <c r="B135" s="1" t="s">
        <v>58</v>
      </c>
      <c r="C135">
        <v>425</v>
      </c>
      <c r="D135">
        <v>0</v>
      </c>
      <c r="E135">
        <v>425</v>
      </c>
      <c r="F135">
        <v>82</v>
      </c>
      <c r="G135">
        <v>17</v>
      </c>
      <c r="H135">
        <v>0</v>
      </c>
      <c r="I135">
        <v>17</v>
      </c>
      <c r="J135">
        <v>3</v>
      </c>
      <c r="K135">
        <v>0</v>
      </c>
      <c r="L135">
        <v>3</v>
      </c>
      <c r="M135">
        <v>0</v>
      </c>
      <c r="N135">
        <v>0</v>
      </c>
      <c r="O135">
        <v>0</v>
      </c>
      <c r="P135">
        <v>0</v>
      </c>
      <c r="Q135">
        <v>0</v>
      </c>
      <c r="R135">
        <v>0</v>
      </c>
      <c r="S135">
        <v>4.7058823529411764E-2</v>
      </c>
      <c r="T135">
        <v>0</v>
      </c>
      <c r="U135">
        <v>4.7058823529411764E-2</v>
      </c>
    </row>
    <row r="136" spans="1:21" x14ac:dyDescent="0.35">
      <c r="A136" s="24" t="s">
        <v>465</v>
      </c>
      <c r="B136" s="1" t="s">
        <v>66</v>
      </c>
      <c r="C136">
        <v>235</v>
      </c>
      <c r="D136">
        <v>0</v>
      </c>
      <c r="E136">
        <v>235</v>
      </c>
      <c r="F136">
        <v>58</v>
      </c>
      <c r="G136">
        <v>42</v>
      </c>
      <c r="H136">
        <v>0</v>
      </c>
      <c r="I136">
        <v>42</v>
      </c>
      <c r="J136">
        <v>1</v>
      </c>
      <c r="K136">
        <v>0</v>
      </c>
      <c r="L136">
        <v>1</v>
      </c>
      <c r="M136">
        <v>0</v>
      </c>
      <c r="N136">
        <v>0</v>
      </c>
      <c r="O136">
        <v>0</v>
      </c>
      <c r="P136">
        <v>0</v>
      </c>
      <c r="Q136">
        <v>0</v>
      </c>
      <c r="R136">
        <v>0</v>
      </c>
      <c r="S136">
        <v>0.18297872340425531</v>
      </c>
      <c r="T136">
        <v>0</v>
      </c>
      <c r="U136">
        <v>0.18297872340425531</v>
      </c>
    </row>
    <row r="137" spans="1:21" x14ac:dyDescent="0.35">
      <c r="A137" s="24" t="s">
        <v>466</v>
      </c>
      <c r="B137" s="1" t="s">
        <v>20</v>
      </c>
      <c r="C137">
        <v>188</v>
      </c>
      <c r="D137">
        <v>0</v>
      </c>
      <c r="E137">
        <v>188</v>
      </c>
      <c r="F137">
        <v>37</v>
      </c>
      <c r="G137">
        <v>9</v>
      </c>
      <c r="H137">
        <v>0</v>
      </c>
      <c r="I137">
        <v>9</v>
      </c>
      <c r="J137">
        <v>2</v>
      </c>
      <c r="K137">
        <v>0</v>
      </c>
      <c r="L137">
        <v>2</v>
      </c>
      <c r="M137">
        <v>0</v>
      </c>
      <c r="N137">
        <v>0</v>
      </c>
      <c r="O137">
        <v>0</v>
      </c>
      <c r="P137">
        <v>0</v>
      </c>
      <c r="Q137">
        <v>0</v>
      </c>
      <c r="R137">
        <v>0</v>
      </c>
      <c r="S137">
        <v>5.8510638297872342E-2</v>
      </c>
      <c r="T137">
        <v>0</v>
      </c>
      <c r="U137">
        <v>5.8510638297872342E-2</v>
      </c>
    </row>
    <row r="138" spans="1:21" x14ac:dyDescent="0.35">
      <c r="A138" s="24" t="s">
        <v>467</v>
      </c>
      <c r="B138" s="1" t="s">
        <v>51</v>
      </c>
      <c r="C138">
        <v>144</v>
      </c>
      <c r="D138">
        <v>0</v>
      </c>
      <c r="E138">
        <v>144</v>
      </c>
      <c r="F138">
        <v>46</v>
      </c>
      <c r="G138">
        <v>14</v>
      </c>
      <c r="H138">
        <v>0</v>
      </c>
      <c r="I138">
        <v>14</v>
      </c>
      <c r="J138">
        <v>1</v>
      </c>
      <c r="K138">
        <v>0</v>
      </c>
      <c r="L138">
        <v>1</v>
      </c>
      <c r="M138">
        <v>0</v>
      </c>
      <c r="N138">
        <v>0</v>
      </c>
      <c r="O138">
        <v>0</v>
      </c>
      <c r="P138">
        <v>0</v>
      </c>
      <c r="Q138">
        <v>0</v>
      </c>
      <c r="R138">
        <v>0</v>
      </c>
      <c r="S138">
        <v>0.10416666666666667</v>
      </c>
      <c r="T138">
        <v>0</v>
      </c>
      <c r="U138">
        <v>0.10416666666666667</v>
      </c>
    </row>
    <row r="139" spans="1:21" x14ac:dyDescent="0.35">
      <c r="A139" s="24" t="s">
        <v>468</v>
      </c>
      <c r="B139" s="1" t="s">
        <v>18</v>
      </c>
      <c r="C139">
        <v>132</v>
      </c>
      <c r="D139">
        <v>0</v>
      </c>
      <c r="E139">
        <v>132</v>
      </c>
      <c r="F139">
        <v>50</v>
      </c>
      <c r="G139">
        <v>29</v>
      </c>
      <c r="H139">
        <v>0</v>
      </c>
      <c r="I139">
        <v>29</v>
      </c>
      <c r="J139">
        <v>0</v>
      </c>
      <c r="K139">
        <v>0</v>
      </c>
      <c r="L139">
        <v>0</v>
      </c>
      <c r="M139">
        <v>0</v>
      </c>
      <c r="N139">
        <v>0</v>
      </c>
      <c r="O139">
        <v>0</v>
      </c>
      <c r="P139">
        <v>0</v>
      </c>
      <c r="Q139">
        <v>0</v>
      </c>
      <c r="R139">
        <v>0</v>
      </c>
      <c r="S139">
        <v>0.2196969696969697</v>
      </c>
      <c r="T139">
        <v>0</v>
      </c>
      <c r="U139">
        <v>0.2196969696969697</v>
      </c>
    </row>
    <row r="140" spans="1:21" x14ac:dyDescent="0.35">
      <c r="A140" s="24" t="s">
        <v>469</v>
      </c>
      <c r="B140" s="1" t="s">
        <v>55</v>
      </c>
      <c r="C140">
        <v>79</v>
      </c>
      <c r="D140">
        <v>0</v>
      </c>
      <c r="E140">
        <v>79</v>
      </c>
      <c r="F140">
        <v>30</v>
      </c>
      <c r="G140">
        <v>3</v>
      </c>
      <c r="H140">
        <v>0</v>
      </c>
      <c r="I140">
        <v>3</v>
      </c>
      <c r="J140">
        <v>1</v>
      </c>
      <c r="K140">
        <v>0</v>
      </c>
      <c r="L140">
        <v>1</v>
      </c>
      <c r="M140">
        <v>0</v>
      </c>
      <c r="N140">
        <v>0</v>
      </c>
      <c r="O140">
        <v>0</v>
      </c>
      <c r="P140">
        <v>0</v>
      </c>
      <c r="Q140">
        <v>0</v>
      </c>
      <c r="R140">
        <v>0</v>
      </c>
      <c r="S140">
        <v>5.0632911392405063E-2</v>
      </c>
      <c r="T140">
        <v>0</v>
      </c>
      <c r="U140">
        <v>5.0632911392405063E-2</v>
      </c>
    </row>
    <row r="141" spans="1:21" x14ac:dyDescent="0.35">
      <c r="A141" s="24" t="s">
        <v>470</v>
      </c>
      <c r="B141" s="1" t="s">
        <v>21</v>
      </c>
      <c r="C141">
        <v>89</v>
      </c>
      <c r="D141">
        <v>0</v>
      </c>
      <c r="E141">
        <v>89</v>
      </c>
      <c r="F141">
        <v>41</v>
      </c>
      <c r="G141">
        <v>9</v>
      </c>
      <c r="H141">
        <v>0</v>
      </c>
      <c r="I141">
        <v>9</v>
      </c>
      <c r="J141">
        <v>0</v>
      </c>
      <c r="K141">
        <v>0</v>
      </c>
      <c r="L141">
        <v>0</v>
      </c>
      <c r="M141">
        <v>0</v>
      </c>
      <c r="N141">
        <v>0</v>
      </c>
      <c r="O141">
        <v>0</v>
      </c>
      <c r="P141">
        <v>0</v>
      </c>
      <c r="Q141">
        <v>0</v>
      </c>
      <c r="R141">
        <v>0</v>
      </c>
      <c r="S141">
        <v>0.10112359550561797</v>
      </c>
      <c r="T141">
        <v>0</v>
      </c>
      <c r="U141">
        <v>0.10112359550561797</v>
      </c>
    </row>
    <row r="142" spans="1:21" x14ac:dyDescent="0.35">
      <c r="A142" s="24" t="s">
        <v>471</v>
      </c>
      <c r="B142" s="1" t="s">
        <v>58</v>
      </c>
      <c r="C142">
        <v>253</v>
      </c>
      <c r="D142">
        <v>0</v>
      </c>
      <c r="E142">
        <v>253</v>
      </c>
      <c r="F142">
        <v>57</v>
      </c>
      <c r="G142">
        <v>29</v>
      </c>
      <c r="H142">
        <v>0</v>
      </c>
      <c r="I142">
        <v>29</v>
      </c>
      <c r="J142">
        <v>0</v>
      </c>
      <c r="K142">
        <v>0</v>
      </c>
      <c r="L142">
        <v>0</v>
      </c>
      <c r="M142">
        <v>0</v>
      </c>
      <c r="N142">
        <v>0</v>
      </c>
      <c r="O142">
        <v>0</v>
      </c>
      <c r="P142">
        <v>0</v>
      </c>
      <c r="Q142">
        <v>0</v>
      </c>
      <c r="R142">
        <v>0</v>
      </c>
      <c r="S142">
        <v>0.11462450592885376</v>
      </c>
      <c r="T142">
        <v>0</v>
      </c>
      <c r="U142">
        <v>0.11462450592885376</v>
      </c>
    </row>
    <row r="143" spans="1:21" x14ac:dyDescent="0.35">
      <c r="A143" s="24" t="s">
        <v>472</v>
      </c>
      <c r="B143" s="1" t="s">
        <v>66</v>
      </c>
      <c r="C143">
        <v>99</v>
      </c>
      <c r="D143">
        <v>0</v>
      </c>
      <c r="E143">
        <v>99</v>
      </c>
      <c r="F143">
        <v>35</v>
      </c>
      <c r="G143">
        <v>2</v>
      </c>
      <c r="H143">
        <v>0</v>
      </c>
      <c r="I143">
        <v>2</v>
      </c>
      <c r="J143">
        <v>0</v>
      </c>
      <c r="K143">
        <v>0</v>
      </c>
      <c r="L143">
        <v>0</v>
      </c>
      <c r="M143">
        <v>0</v>
      </c>
      <c r="N143">
        <v>0</v>
      </c>
      <c r="O143">
        <v>0</v>
      </c>
      <c r="P143">
        <v>0</v>
      </c>
      <c r="Q143">
        <v>0</v>
      </c>
      <c r="R143">
        <v>0</v>
      </c>
      <c r="S143">
        <v>2.0202020202020204E-2</v>
      </c>
      <c r="T143">
        <v>0</v>
      </c>
      <c r="U143">
        <v>2.0202020202020204E-2</v>
      </c>
    </row>
    <row r="144" spans="1:21" x14ac:dyDescent="0.35">
      <c r="A144" s="24" t="s">
        <v>473</v>
      </c>
      <c r="B144" s="1" t="s">
        <v>20</v>
      </c>
      <c r="C144">
        <v>138</v>
      </c>
      <c r="D144">
        <v>0</v>
      </c>
      <c r="E144">
        <v>138</v>
      </c>
      <c r="F144">
        <v>26</v>
      </c>
      <c r="G144">
        <v>12</v>
      </c>
      <c r="H144">
        <v>0</v>
      </c>
      <c r="I144">
        <v>12</v>
      </c>
      <c r="J144">
        <v>0</v>
      </c>
      <c r="K144">
        <v>0</v>
      </c>
      <c r="L144">
        <v>0</v>
      </c>
      <c r="M144">
        <v>0</v>
      </c>
      <c r="N144">
        <v>0</v>
      </c>
      <c r="O144">
        <v>0</v>
      </c>
      <c r="P144">
        <v>0</v>
      </c>
      <c r="Q144">
        <v>0</v>
      </c>
      <c r="R144">
        <v>0</v>
      </c>
      <c r="S144">
        <v>8.6956521739130432E-2</v>
      </c>
      <c r="T144">
        <v>0</v>
      </c>
      <c r="U144">
        <v>8.6956521739130432E-2</v>
      </c>
    </row>
    <row r="145" spans="1:21" x14ac:dyDescent="0.35">
      <c r="A145" s="24" t="s">
        <v>474</v>
      </c>
      <c r="B145" s="1" t="s">
        <v>51</v>
      </c>
      <c r="C145">
        <v>43</v>
      </c>
      <c r="D145">
        <v>0</v>
      </c>
      <c r="E145">
        <v>43</v>
      </c>
      <c r="F145">
        <v>13</v>
      </c>
      <c r="G145">
        <v>5</v>
      </c>
      <c r="H145">
        <v>0</v>
      </c>
      <c r="I145">
        <v>5</v>
      </c>
      <c r="J145">
        <v>0</v>
      </c>
      <c r="K145">
        <v>0</v>
      </c>
      <c r="L145">
        <v>0</v>
      </c>
      <c r="M145">
        <v>0</v>
      </c>
      <c r="N145">
        <v>0</v>
      </c>
      <c r="O145">
        <v>0</v>
      </c>
      <c r="P145">
        <v>0</v>
      </c>
      <c r="Q145">
        <v>0</v>
      </c>
      <c r="R145">
        <v>0</v>
      </c>
      <c r="S145">
        <v>0.11627906976744186</v>
      </c>
      <c r="T145">
        <v>0</v>
      </c>
      <c r="U145">
        <v>0.11627906976744186</v>
      </c>
    </row>
    <row r="146" spans="1:21" x14ac:dyDescent="0.35">
      <c r="A146" s="24" t="s">
        <v>439</v>
      </c>
      <c r="B146" s="1" t="s">
        <v>18</v>
      </c>
      <c r="C146">
        <v>597</v>
      </c>
      <c r="D146">
        <v>0</v>
      </c>
      <c r="E146">
        <v>597</v>
      </c>
      <c r="F146">
        <v>330</v>
      </c>
      <c r="G146">
        <v>45</v>
      </c>
      <c r="H146">
        <v>0</v>
      </c>
      <c r="I146">
        <v>45</v>
      </c>
      <c r="J146">
        <v>7</v>
      </c>
      <c r="K146">
        <v>0</v>
      </c>
      <c r="L146">
        <v>7</v>
      </c>
      <c r="M146">
        <v>1</v>
      </c>
      <c r="N146">
        <v>0</v>
      </c>
      <c r="O146">
        <v>1</v>
      </c>
      <c r="P146">
        <v>0</v>
      </c>
      <c r="Q146">
        <v>0</v>
      </c>
      <c r="R146">
        <v>0</v>
      </c>
      <c r="S146">
        <v>8.8777219430485763E-2</v>
      </c>
      <c r="T146">
        <v>0</v>
      </c>
      <c r="U146">
        <v>8.8777219430485763E-2</v>
      </c>
    </row>
    <row r="147" spans="1:21" x14ac:dyDescent="0.35">
      <c r="A147" s="24" t="s">
        <v>475</v>
      </c>
      <c r="B147" s="1" t="s">
        <v>55</v>
      </c>
      <c r="C147">
        <v>718</v>
      </c>
      <c r="D147">
        <v>0</v>
      </c>
      <c r="E147">
        <v>718</v>
      </c>
      <c r="F147">
        <v>478</v>
      </c>
      <c r="G147">
        <v>30</v>
      </c>
      <c r="H147">
        <v>0</v>
      </c>
      <c r="I147">
        <v>30</v>
      </c>
      <c r="J147">
        <v>4</v>
      </c>
      <c r="K147">
        <v>0</v>
      </c>
      <c r="L147">
        <v>4</v>
      </c>
      <c r="M147">
        <v>0</v>
      </c>
      <c r="N147">
        <v>0</v>
      </c>
      <c r="O147">
        <v>0</v>
      </c>
      <c r="P147">
        <v>0</v>
      </c>
      <c r="Q147">
        <v>0</v>
      </c>
      <c r="R147">
        <v>0</v>
      </c>
      <c r="S147">
        <v>4.7353760445682451E-2</v>
      </c>
      <c r="T147">
        <v>0</v>
      </c>
      <c r="U147">
        <v>4.7353760445682451E-2</v>
      </c>
    </row>
    <row r="148" spans="1:21" x14ac:dyDescent="0.35">
      <c r="A148" s="24" t="s">
        <v>476</v>
      </c>
      <c r="B148" s="1" t="s">
        <v>21</v>
      </c>
      <c r="C148">
        <v>229</v>
      </c>
      <c r="D148">
        <v>0</v>
      </c>
      <c r="E148">
        <v>229</v>
      </c>
      <c r="F148">
        <v>131</v>
      </c>
      <c r="G148">
        <v>14</v>
      </c>
      <c r="H148">
        <v>0</v>
      </c>
      <c r="I148">
        <v>14</v>
      </c>
      <c r="J148">
        <v>2</v>
      </c>
      <c r="K148">
        <v>0</v>
      </c>
      <c r="L148">
        <v>2</v>
      </c>
      <c r="M148">
        <v>1</v>
      </c>
      <c r="N148">
        <v>0</v>
      </c>
      <c r="O148">
        <v>1</v>
      </c>
      <c r="P148">
        <v>0</v>
      </c>
      <c r="Q148">
        <v>0</v>
      </c>
      <c r="R148">
        <v>0</v>
      </c>
      <c r="S148">
        <v>7.4235807860262015E-2</v>
      </c>
      <c r="T148">
        <v>0</v>
      </c>
      <c r="U148">
        <v>7.4235807860262015E-2</v>
      </c>
    </row>
    <row r="149" spans="1:21" x14ac:dyDescent="0.35">
      <c r="A149" s="24" t="s">
        <v>477</v>
      </c>
      <c r="B149" s="1" t="s">
        <v>58</v>
      </c>
      <c r="C149">
        <v>406</v>
      </c>
      <c r="D149">
        <v>0</v>
      </c>
      <c r="E149">
        <v>406</v>
      </c>
      <c r="F149">
        <v>132</v>
      </c>
      <c r="G149">
        <v>142</v>
      </c>
      <c r="H149">
        <v>0</v>
      </c>
      <c r="I149">
        <v>142</v>
      </c>
      <c r="J149">
        <v>4</v>
      </c>
      <c r="K149">
        <v>0</v>
      </c>
      <c r="L149">
        <v>4</v>
      </c>
      <c r="M149">
        <v>0</v>
      </c>
      <c r="N149">
        <v>0</v>
      </c>
      <c r="O149">
        <v>0</v>
      </c>
      <c r="P149">
        <v>0</v>
      </c>
      <c r="Q149">
        <v>0</v>
      </c>
      <c r="R149">
        <v>0</v>
      </c>
      <c r="S149">
        <v>0.35960591133004927</v>
      </c>
      <c r="T149">
        <v>0</v>
      </c>
      <c r="U149">
        <v>0.35960591133004927</v>
      </c>
    </row>
    <row r="150" spans="1:21" x14ac:dyDescent="0.35">
      <c r="A150" s="24" t="s">
        <v>478</v>
      </c>
      <c r="B150" s="1" t="s">
        <v>66</v>
      </c>
      <c r="C150">
        <v>242</v>
      </c>
      <c r="D150">
        <v>0</v>
      </c>
      <c r="E150">
        <v>242</v>
      </c>
      <c r="F150">
        <v>84</v>
      </c>
      <c r="G150">
        <v>31</v>
      </c>
      <c r="H150">
        <v>0</v>
      </c>
      <c r="I150">
        <v>31</v>
      </c>
      <c r="J150">
        <v>5</v>
      </c>
      <c r="K150">
        <v>0</v>
      </c>
      <c r="L150">
        <v>5</v>
      </c>
      <c r="M150">
        <v>0</v>
      </c>
      <c r="N150">
        <v>0</v>
      </c>
      <c r="O150">
        <v>0</v>
      </c>
      <c r="P150">
        <v>0</v>
      </c>
      <c r="Q150">
        <v>0</v>
      </c>
      <c r="R150">
        <v>0</v>
      </c>
      <c r="S150">
        <v>0.1487603305785124</v>
      </c>
      <c r="T150">
        <v>0</v>
      </c>
      <c r="U150">
        <v>0.1487603305785124</v>
      </c>
    </row>
    <row r="151" spans="1:21" x14ac:dyDescent="0.35">
      <c r="A151" s="24" t="s">
        <v>440</v>
      </c>
      <c r="B151" s="1" t="s">
        <v>20</v>
      </c>
      <c r="C151">
        <v>610</v>
      </c>
      <c r="D151">
        <v>0</v>
      </c>
      <c r="E151">
        <v>610</v>
      </c>
      <c r="F151">
        <v>307</v>
      </c>
      <c r="G151">
        <v>217</v>
      </c>
      <c r="H151">
        <v>0</v>
      </c>
      <c r="I151">
        <v>217</v>
      </c>
      <c r="J151">
        <v>34</v>
      </c>
      <c r="K151">
        <v>0</v>
      </c>
      <c r="L151">
        <v>34</v>
      </c>
      <c r="M151">
        <v>4</v>
      </c>
      <c r="N151">
        <v>0</v>
      </c>
      <c r="O151">
        <v>4</v>
      </c>
      <c r="P151">
        <v>1</v>
      </c>
      <c r="Q151">
        <v>0</v>
      </c>
      <c r="R151">
        <v>1</v>
      </c>
      <c r="S151">
        <v>0.41967213114754098</v>
      </c>
      <c r="T151">
        <v>0</v>
      </c>
      <c r="U151">
        <v>0.41967213114754098</v>
      </c>
    </row>
    <row r="152" spans="1:21" x14ac:dyDescent="0.35">
      <c r="A152" s="24" t="s">
        <v>479</v>
      </c>
      <c r="B152" s="1" t="s">
        <v>51</v>
      </c>
      <c r="C152">
        <v>769</v>
      </c>
      <c r="D152">
        <v>0</v>
      </c>
      <c r="E152">
        <v>769</v>
      </c>
      <c r="F152">
        <v>393</v>
      </c>
      <c r="G152">
        <v>224</v>
      </c>
      <c r="H152">
        <v>0</v>
      </c>
      <c r="I152">
        <v>224</v>
      </c>
      <c r="J152">
        <v>18</v>
      </c>
      <c r="K152">
        <v>0</v>
      </c>
      <c r="L152">
        <v>18</v>
      </c>
      <c r="M152">
        <v>0</v>
      </c>
      <c r="N152">
        <v>0</v>
      </c>
      <c r="O152">
        <v>0</v>
      </c>
      <c r="P152">
        <v>0</v>
      </c>
      <c r="Q152">
        <v>0</v>
      </c>
      <c r="R152">
        <v>0</v>
      </c>
      <c r="S152">
        <v>0.31469440832249673</v>
      </c>
      <c r="T152">
        <v>0</v>
      </c>
      <c r="U152">
        <v>0.31469440832249673</v>
      </c>
    </row>
    <row r="153" spans="1:21" x14ac:dyDescent="0.35">
      <c r="A153" s="24" t="s">
        <v>480</v>
      </c>
      <c r="B153" s="1" t="s">
        <v>18</v>
      </c>
      <c r="C153">
        <v>377</v>
      </c>
      <c r="D153">
        <v>0</v>
      </c>
      <c r="E153">
        <v>377</v>
      </c>
      <c r="F153">
        <v>156</v>
      </c>
      <c r="G153">
        <v>51</v>
      </c>
      <c r="H153">
        <v>0</v>
      </c>
      <c r="I153">
        <v>51</v>
      </c>
      <c r="J153">
        <v>9</v>
      </c>
      <c r="K153">
        <v>0</v>
      </c>
      <c r="L153">
        <v>9</v>
      </c>
      <c r="M153">
        <v>0</v>
      </c>
      <c r="N153">
        <v>0</v>
      </c>
      <c r="O153">
        <v>0</v>
      </c>
      <c r="P153">
        <v>0</v>
      </c>
      <c r="Q153">
        <v>0</v>
      </c>
      <c r="R153">
        <v>0</v>
      </c>
      <c r="S153">
        <v>0.15915119363395225</v>
      </c>
      <c r="T153">
        <v>0</v>
      </c>
      <c r="U153">
        <v>0.15915119363395225</v>
      </c>
    </row>
    <row r="154" spans="1:21" x14ac:dyDescent="0.35">
      <c r="A154" s="24" t="s">
        <v>481</v>
      </c>
      <c r="B154" s="1" t="s">
        <v>55</v>
      </c>
      <c r="C154">
        <v>156</v>
      </c>
      <c r="D154">
        <v>0</v>
      </c>
      <c r="E154">
        <v>156</v>
      </c>
      <c r="F154">
        <v>77</v>
      </c>
      <c r="G154">
        <v>23</v>
      </c>
      <c r="H154">
        <v>0</v>
      </c>
      <c r="I154">
        <v>23</v>
      </c>
      <c r="J154">
        <v>1</v>
      </c>
      <c r="K154">
        <v>0</v>
      </c>
      <c r="L154">
        <v>1</v>
      </c>
      <c r="M154">
        <v>0</v>
      </c>
      <c r="N154">
        <v>0</v>
      </c>
      <c r="O154">
        <v>0</v>
      </c>
      <c r="P154">
        <v>0</v>
      </c>
      <c r="Q154">
        <v>0</v>
      </c>
      <c r="R154">
        <v>0</v>
      </c>
      <c r="S154">
        <v>0.15384615384615385</v>
      </c>
      <c r="T154">
        <v>0</v>
      </c>
      <c r="U154">
        <v>0.15384615384615385</v>
      </c>
    </row>
    <row r="155" spans="1:21" x14ac:dyDescent="0.35">
      <c r="A155" s="24">
        <v>45663</v>
      </c>
      <c r="B155" s="1" t="s">
        <v>21</v>
      </c>
      <c r="C155">
        <v>110</v>
      </c>
      <c r="D155">
        <v>0</v>
      </c>
      <c r="E155">
        <v>110</v>
      </c>
      <c r="F155">
        <v>66</v>
      </c>
      <c r="G155">
        <v>18</v>
      </c>
      <c r="H155">
        <v>0</v>
      </c>
      <c r="I155">
        <v>18</v>
      </c>
      <c r="J155">
        <v>1</v>
      </c>
      <c r="K155">
        <v>0</v>
      </c>
      <c r="L155">
        <v>1</v>
      </c>
      <c r="M155">
        <v>0</v>
      </c>
      <c r="N155">
        <v>0</v>
      </c>
      <c r="O155">
        <v>0</v>
      </c>
      <c r="P155">
        <v>0</v>
      </c>
      <c r="Q155">
        <v>0</v>
      </c>
      <c r="R155">
        <v>0</v>
      </c>
      <c r="S155">
        <v>0.17272727272727273</v>
      </c>
      <c r="T155">
        <v>0</v>
      </c>
      <c r="U155">
        <v>0.17272727272727273</v>
      </c>
    </row>
    <row r="156" spans="1:21" x14ac:dyDescent="0.35">
      <c r="A156" s="24">
        <v>45694</v>
      </c>
      <c r="B156" s="1" t="s">
        <v>58</v>
      </c>
      <c r="C156">
        <v>231</v>
      </c>
      <c r="D156">
        <v>0</v>
      </c>
      <c r="E156">
        <v>231</v>
      </c>
      <c r="F156">
        <v>81</v>
      </c>
      <c r="G156">
        <v>53</v>
      </c>
      <c r="H156">
        <v>0</v>
      </c>
      <c r="I156">
        <v>53</v>
      </c>
      <c r="J156">
        <v>0</v>
      </c>
      <c r="K156">
        <v>0</v>
      </c>
      <c r="L156">
        <v>0</v>
      </c>
      <c r="M156">
        <v>0</v>
      </c>
      <c r="N156">
        <v>0</v>
      </c>
      <c r="O156">
        <v>0</v>
      </c>
      <c r="P156">
        <v>0</v>
      </c>
      <c r="Q156">
        <v>0</v>
      </c>
      <c r="R156">
        <v>0</v>
      </c>
      <c r="S156">
        <v>0.22943722943722944</v>
      </c>
      <c r="T156">
        <v>0</v>
      </c>
      <c r="U156">
        <v>0.22943722943722944</v>
      </c>
    </row>
    <row r="157" spans="1:21" x14ac:dyDescent="0.35">
      <c r="A157" s="24">
        <v>45722</v>
      </c>
      <c r="B157" s="1" t="s">
        <v>66</v>
      </c>
      <c r="C157">
        <v>752</v>
      </c>
      <c r="D157">
        <v>0</v>
      </c>
      <c r="E157">
        <v>752</v>
      </c>
      <c r="F157">
        <v>318</v>
      </c>
      <c r="G157">
        <v>176</v>
      </c>
      <c r="H157">
        <v>0</v>
      </c>
      <c r="I157">
        <v>176</v>
      </c>
      <c r="J157">
        <v>15</v>
      </c>
      <c r="K157">
        <v>0</v>
      </c>
      <c r="L157">
        <v>15</v>
      </c>
      <c r="M157">
        <v>5</v>
      </c>
      <c r="N157">
        <v>0</v>
      </c>
      <c r="O157">
        <v>5</v>
      </c>
      <c r="P157">
        <v>-1</v>
      </c>
      <c r="Q157">
        <v>0</v>
      </c>
      <c r="R157">
        <v>-1</v>
      </c>
      <c r="S157">
        <v>0.25930851063829785</v>
      </c>
      <c r="T157">
        <v>0</v>
      </c>
      <c r="U157">
        <v>0.25930851063829785</v>
      </c>
    </row>
    <row r="158" spans="1:21" x14ac:dyDescent="0.35">
      <c r="A158" s="24">
        <v>45753</v>
      </c>
      <c r="B158" s="1" t="s">
        <v>20</v>
      </c>
      <c r="C158">
        <v>1051</v>
      </c>
      <c r="D158">
        <v>0</v>
      </c>
      <c r="E158">
        <v>1051</v>
      </c>
      <c r="F158">
        <v>514</v>
      </c>
      <c r="G158">
        <v>115</v>
      </c>
      <c r="H158">
        <v>0</v>
      </c>
      <c r="I158">
        <v>115</v>
      </c>
      <c r="J158">
        <v>27</v>
      </c>
      <c r="K158">
        <v>0</v>
      </c>
      <c r="L158">
        <v>27</v>
      </c>
      <c r="M158">
        <v>3</v>
      </c>
      <c r="N158">
        <v>0</v>
      </c>
      <c r="O158">
        <v>3</v>
      </c>
      <c r="P158">
        <v>1</v>
      </c>
      <c r="Q158">
        <v>0</v>
      </c>
      <c r="R158">
        <v>1</v>
      </c>
      <c r="S158">
        <v>0.13891531874405327</v>
      </c>
      <c r="T158">
        <v>0</v>
      </c>
      <c r="U158">
        <v>0.13891531874405327</v>
      </c>
    </row>
    <row r="159" spans="1:21" x14ac:dyDescent="0.35">
      <c r="A159" s="24">
        <v>45783</v>
      </c>
      <c r="B159" s="1" t="s">
        <v>51</v>
      </c>
      <c r="C159">
        <v>563</v>
      </c>
      <c r="D159">
        <v>0</v>
      </c>
      <c r="E159">
        <v>563</v>
      </c>
      <c r="F159">
        <v>220</v>
      </c>
      <c r="G159">
        <v>65</v>
      </c>
      <c r="H159">
        <v>0</v>
      </c>
      <c r="I159">
        <v>65</v>
      </c>
      <c r="J159">
        <v>9</v>
      </c>
      <c r="K159">
        <v>0</v>
      </c>
      <c r="L159">
        <v>9</v>
      </c>
      <c r="M159">
        <v>0</v>
      </c>
      <c r="N159">
        <v>0</v>
      </c>
      <c r="O159">
        <v>0</v>
      </c>
      <c r="P159">
        <v>0</v>
      </c>
      <c r="Q159">
        <v>0</v>
      </c>
      <c r="R159">
        <v>0</v>
      </c>
      <c r="S159">
        <v>0.13143872113676733</v>
      </c>
      <c r="T159">
        <v>0</v>
      </c>
      <c r="U159">
        <v>0.13143872113676733</v>
      </c>
    </row>
    <row r="160" spans="1:21" x14ac:dyDescent="0.35">
      <c r="A160" s="24">
        <v>45814</v>
      </c>
      <c r="B160" s="1" t="s">
        <v>18</v>
      </c>
      <c r="C160">
        <v>176</v>
      </c>
      <c r="D160">
        <v>0</v>
      </c>
      <c r="E160">
        <v>176</v>
      </c>
      <c r="F160">
        <v>83</v>
      </c>
      <c r="G160">
        <v>18</v>
      </c>
      <c r="H160">
        <v>0</v>
      </c>
      <c r="I160">
        <v>18</v>
      </c>
      <c r="J160">
        <v>2</v>
      </c>
      <c r="K160">
        <v>0</v>
      </c>
      <c r="L160">
        <v>2</v>
      </c>
      <c r="M160">
        <v>0</v>
      </c>
      <c r="N160">
        <v>0</v>
      </c>
      <c r="O160">
        <v>0</v>
      </c>
      <c r="P160">
        <v>0</v>
      </c>
      <c r="Q160">
        <v>0</v>
      </c>
      <c r="R160">
        <v>0</v>
      </c>
      <c r="S160">
        <v>0.11363636363636363</v>
      </c>
      <c r="T160">
        <v>0</v>
      </c>
      <c r="U160">
        <v>0.11363636363636363</v>
      </c>
    </row>
    <row r="161" spans="1:21" x14ac:dyDescent="0.35">
      <c r="A161" s="24">
        <v>45844</v>
      </c>
      <c r="B161" s="1" t="s">
        <v>55</v>
      </c>
      <c r="C161">
        <v>86</v>
      </c>
      <c r="D161">
        <v>0</v>
      </c>
      <c r="E161">
        <v>86</v>
      </c>
      <c r="F161">
        <v>55</v>
      </c>
      <c r="G161">
        <v>6</v>
      </c>
      <c r="H161">
        <v>0</v>
      </c>
      <c r="I161">
        <v>6</v>
      </c>
      <c r="J161">
        <v>2</v>
      </c>
      <c r="K161">
        <v>0</v>
      </c>
      <c r="L161">
        <v>2</v>
      </c>
      <c r="M161">
        <v>0</v>
      </c>
      <c r="N161">
        <v>0</v>
      </c>
      <c r="O161">
        <v>0</v>
      </c>
      <c r="P161">
        <v>0</v>
      </c>
      <c r="Q161">
        <v>0</v>
      </c>
      <c r="R161">
        <v>0</v>
      </c>
      <c r="S161">
        <v>9.3023255813953487E-2</v>
      </c>
      <c r="T161">
        <v>0</v>
      </c>
      <c r="U161">
        <v>9.3023255813953487E-2</v>
      </c>
    </row>
    <row r="162" spans="1:21" x14ac:dyDescent="0.35">
      <c r="A162" s="24">
        <v>45875</v>
      </c>
      <c r="B162" s="1" t="s">
        <v>21</v>
      </c>
      <c r="C162">
        <v>116</v>
      </c>
      <c r="D162">
        <v>0</v>
      </c>
      <c r="E162">
        <v>116</v>
      </c>
      <c r="F162">
        <v>55</v>
      </c>
      <c r="G162">
        <v>13</v>
      </c>
      <c r="H162">
        <v>0</v>
      </c>
      <c r="I162">
        <v>13</v>
      </c>
      <c r="J162">
        <v>2</v>
      </c>
      <c r="K162">
        <v>0</v>
      </c>
      <c r="L162">
        <v>2</v>
      </c>
      <c r="M162">
        <v>0</v>
      </c>
      <c r="N162">
        <v>0</v>
      </c>
      <c r="O162">
        <v>0</v>
      </c>
      <c r="P162">
        <v>0</v>
      </c>
      <c r="Q162">
        <v>0</v>
      </c>
      <c r="R162">
        <v>0</v>
      </c>
      <c r="S162">
        <v>0.12931034482758622</v>
      </c>
      <c r="T162">
        <v>0</v>
      </c>
      <c r="U162">
        <v>0.12931034482758622</v>
      </c>
    </row>
    <row r="163" spans="1:21" x14ac:dyDescent="0.35">
      <c r="A163" s="24">
        <v>45906</v>
      </c>
      <c r="B163" s="1" t="s">
        <v>58</v>
      </c>
      <c r="C163">
        <v>116</v>
      </c>
      <c r="D163">
        <v>0</v>
      </c>
      <c r="E163">
        <v>116</v>
      </c>
      <c r="F163">
        <v>60</v>
      </c>
      <c r="G163">
        <v>18</v>
      </c>
      <c r="H163">
        <v>0</v>
      </c>
      <c r="I163">
        <v>18</v>
      </c>
      <c r="J163">
        <v>1</v>
      </c>
      <c r="K163">
        <v>0</v>
      </c>
      <c r="L163">
        <v>1</v>
      </c>
      <c r="M163">
        <v>0</v>
      </c>
      <c r="N163">
        <v>0</v>
      </c>
      <c r="O163">
        <v>0</v>
      </c>
      <c r="P163">
        <v>0</v>
      </c>
      <c r="Q163">
        <v>0</v>
      </c>
      <c r="R163">
        <v>0</v>
      </c>
      <c r="S163">
        <v>0.16379310344827586</v>
      </c>
      <c r="T163">
        <v>0</v>
      </c>
      <c r="U163">
        <v>0.16379310344827586</v>
      </c>
    </row>
    <row r="164" spans="1:21" x14ac:dyDescent="0.35">
      <c r="A164" s="24">
        <v>45936</v>
      </c>
      <c r="B164" s="1" t="s">
        <v>66</v>
      </c>
      <c r="C164">
        <v>104</v>
      </c>
      <c r="D164">
        <v>0</v>
      </c>
      <c r="E164">
        <v>104</v>
      </c>
      <c r="F164">
        <v>54</v>
      </c>
      <c r="G164">
        <v>12</v>
      </c>
      <c r="H164">
        <v>0</v>
      </c>
      <c r="I164">
        <v>12</v>
      </c>
      <c r="J164">
        <v>3</v>
      </c>
      <c r="K164">
        <v>0</v>
      </c>
      <c r="L164">
        <v>3</v>
      </c>
      <c r="M164">
        <v>0</v>
      </c>
      <c r="N164">
        <v>0</v>
      </c>
      <c r="O164">
        <v>0</v>
      </c>
      <c r="P164">
        <v>0</v>
      </c>
      <c r="Q164">
        <v>0</v>
      </c>
      <c r="R164">
        <v>0</v>
      </c>
      <c r="S164">
        <v>0.14423076923076922</v>
      </c>
      <c r="T164">
        <v>0</v>
      </c>
      <c r="U164">
        <v>0.14423076923076922</v>
      </c>
    </row>
    <row r="165" spans="1:21" x14ac:dyDescent="0.35">
      <c r="A165" s="24">
        <v>45967</v>
      </c>
      <c r="B165" s="1" t="s">
        <v>20</v>
      </c>
      <c r="C165">
        <v>179</v>
      </c>
      <c r="D165">
        <v>0</v>
      </c>
      <c r="E165">
        <v>179</v>
      </c>
      <c r="F165">
        <v>44</v>
      </c>
      <c r="G165">
        <v>26</v>
      </c>
      <c r="H165">
        <v>0</v>
      </c>
      <c r="I165">
        <v>26</v>
      </c>
      <c r="J165">
        <v>2</v>
      </c>
      <c r="K165">
        <v>0</v>
      </c>
      <c r="L165">
        <v>2</v>
      </c>
      <c r="M165">
        <v>0</v>
      </c>
      <c r="N165">
        <v>0</v>
      </c>
      <c r="O165">
        <v>0</v>
      </c>
      <c r="P165">
        <v>0</v>
      </c>
      <c r="Q165">
        <v>0</v>
      </c>
      <c r="R165">
        <v>0</v>
      </c>
      <c r="S165">
        <v>0.15642458100558659</v>
      </c>
      <c r="T165">
        <v>0</v>
      </c>
      <c r="U165">
        <v>0.15642458100558659</v>
      </c>
    </row>
    <row r="166" spans="1:21" x14ac:dyDescent="0.35">
      <c r="A166" s="24">
        <v>45997</v>
      </c>
      <c r="B166" s="1" t="s">
        <v>51</v>
      </c>
      <c r="C166">
        <v>102</v>
      </c>
      <c r="D166">
        <v>0</v>
      </c>
      <c r="E166">
        <v>102</v>
      </c>
      <c r="F166">
        <v>44</v>
      </c>
      <c r="G166">
        <v>21</v>
      </c>
      <c r="H166">
        <v>0</v>
      </c>
      <c r="I166">
        <v>21</v>
      </c>
      <c r="J166">
        <v>2</v>
      </c>
      <c r="K166">
        <v>0</v>
      </c>
      <c r="L166">
        <v>2</v>
      </c>
      <c r="M166">
        <v>0</v>
      </c>
      <c r="N166">
        <v>0</v>
      </c>
      <c r="O166">
        <v>0</v>
      </c>
      <c r="P166">
        <v>0</v>
      </c>
      <c r="Q166">
        <v>0</v>
      </c>
      <c r="R166">
        <v>0</v>
      </c>
      <c r="S166">
        <v>0.22549019607843138</v>
      </c>
      <c r="T166">
        <v>0</v>
      </c>
      <c r="U166">
        <v>0.22549019607843138</v>
      </c>
    </row>
    <row r="167" spans="1:21" x14ac:dyDescent="0.35">
      <c r="A167" s="24" t="s">
        <v>482</v>
      </c>
      <c r="B167" s="1" t="s">
        <v>18</v>
      </c>
      <c r="C167">
        <v>1190</v>
      </c>
      <c r="D167">
        <v>0</v>
      </c>
      <c r="E167">
        <v>1190</v>
      </c>
      <c r="F167">
        <v>197</v>
      </c>
      <c r="G167">
        <v>119</v>
      </c>
      <c r="H167">
        <v>0</v>
      </c>
      <c r="I167">
        <v>119</v>
      </c>
      <c r="J167">
        <v>2</v>
      </c>
      <c r="K167">
        <v>0</v>
      </c>
      <c r="L167">
        <v>2</v>
      </c>
      <c r="M167">
        <v>0</v>
      </c>
      <c r="N167">
        <v>0</v>
      </c>
      <c r="O167">
        <v>0</v>
      </c>
      <c r="P167">
        <v>0</v>
      </c>
      <c r="Q167">
        <v>0</v>
      </c>
      <c r="R167">
        <v>0</v>
      </c>
      <c r="S167">
        <v>0.10168067226890756</v>
      </c>
      <c r="T167">
        <v>0</v>
      </c>
      <c r="U167">
        <v>0.10168067226890756</v>
      </c>
    </row>
    <row r="168" spans="1:21" x14ac:dyDescent="0.35">
      <c r="A168" s="24" t="s">
        <v>483</v>
      </c>
      <c r="B168" s="1" t="s">
        <v>55</v>
      </c>
      <c r="C168">
        <v>296</v>
      </c>
      <c r="D168">
        <v>0</v>
      </c>
      <c r="E168">
        <v>296</v>
      </c>
      <c r="F168">
        <v>90</v>
      </c>
      <c r="G168">
        <v>25</v>
      </c>
      <c r="H168">
        <v>0</v>
      </c>
      <c r="I168">
        <v>25</v>
      </c>
      <c r="J168">
        <v>1</v>
      </c>
      <c r="K168">
        <v>0</v>
      </c>
      <c r="L168">
        <v>1</v>
      </c>
      <c r="M168">
        <v>0</v>
      </c>
      <c r="N168">
        <v>0</v>
      </c>
      <c r="O168">
        <v>0</v>
      </c>
      <c r="P168">
        <v>0</v>
      </c>
      <c r="Q168">
        <v>0</v>
      </c>
      <c r="R168">
        <v>0</v>
      </c>
      <c r="S168">
        <v>8.7837837837837843E-2</v>
      </c>
      <c r="T168">
        <v>0</v>
      </c>
      <c r="U168">
        <v>8.7837837837837843E-2</v>
      </c>
    </row>
    <row r="169" spans="1:21" x14ac:dyDescent="0.35">
      <c r="A169" s="24" t="s">
        <v>484</v>
      </c>
      <c r="B169" s="1" t="s">
        <v>21</v>
      </c>
      <c r="C169">
        <v>308</v>
      </c>
      <c r="D169">
        <v>0</v>
      </c>
      <c r="E169">
        <v>308</v>
      </c>
      <c r="F169">
        <v>94</v>
      </c>
      <c r="G169">
        <v>72</v>
      </c>
      <c r="H169">
        <v>0</v>
      </c>
      <c r="I169">
        <v>72</v>
      </c>
      <c r="J169">
        <v>0</v>
      </c>
      <c r="K169">
        <v>0</v>
      </c>
      <c r="L169">
        <v>0</v>
      </c>
      <c r="M169">
        <v>0</v>
      </c>
      <c r="N169">
        <v>0</v>
      </c>
      <c r="O169">
        <v>0</v>
      </c>
      <c r="P169">
        <v>0</v>
      </c>
      <c r="Q169">
        <v>0</v>
      </c>
      <c r="R169">
        <v>0</v>
      </c>
      <c r="S169">
        <v>0.23376623376623376</v>
      </c>
      <c r="T169">
        <v>0</v>
      </c>
      <c r="U169">
        <v>0.23376623376623376</v>
      </c>
    </row>
    <row r="170" spans="1:21" x14ac:dyDescent="0.35">
      <c r="A170" s="24" t="s">
        <v>485</v>
      </c>
      <c r="B170" s="1" t="s">
        <v>58</v>
      </c>
      <c r="C170">
        <v>897</v>
      </c>
      <c r="D170">
        <v>0</v>
      </c>
      <c r="E170">
        <v>897</v>
      </c>
      <c r="F170">
        <v>140</v>
      </c>
      <c r="G170">
        <v>152</v>
      </c>
      <c r="H170">
        <v>0</v>
      </c>
      <c r="I170">
        <v>152</v>
      </c>
      <c r="J170">
        <v>1</v>
      </c>
      <c r="K170">
        <v>0</v>
      </c>
      <c r="L170">
        <v>1</v>
      </c>
      <c r="M170">
        <v>0</v>
      </c>
      <c r="N170">
        <v>0</v>
      </c>
      <c r="O170">
        <v>0</v>
      </c>
      <c r="P170">
        <v>0</v>
      </c>
      <c r="Q170">
        <v>0</v>
      </c>
      <c r="R170">
        <v>0</v>
      </c>
      <c r="S170">
        <v>0.1705685618729097</v>
      </c>
      <c r="T170">
        <v>0</v>
      </c>
      <c r="U170">
        <v>0.1705685618729097</v>
      </c>
    </row>
    <row r="171" spans="1:21" x14ac:dyDescent="0.35">
      <c r="A171" s="24" t="s">
        <v>486</v>
      </c>
      <c r="B171" s="1" t="s">
        <v>66</v>
      </c>
      <c r="C171">
        <v>373</v>
      </c>
      <c r="D171">
        <v>0</v>
      </c>
      <c r="E171">
        <v>373</v>
      </c>
      <c r="F171">
        <v>91</v>
      </c>
      <c r="G171">
        <v>38</v>
      </c>
      <c r="H171">
        <v>0</v>
      </c>
      <c r="I171">
        <v>38</v>
      </c>
      <c r="J171">
        <v>0</v>
      </c>
      <c r="K171">
        <v>0</v>
      </c>
      <c r="L171">
        <v>0</v>
      </c>
      <c r="M171">
        <v>0</v>
      </c>
      <c r="N171">
        <v>0</v>
      </c>
      <c r="O171">
        <v>0</v>
      </c>
      <c r="P171">
        <v>0</v>
      </c>
      <c r="Q171">
        <v>0</v>
      </c>
      <c r="R171">
        <v>0</v>
      </c>
      <c r="S171">
        <v>0.10187667560321716</v>
      </c>
      <c r="T171">
        <v>0</v>
      </c>
      <c r="U171">
        <v>0.10187667560321716</v>
      </c>
    </row>
    <row r="172" spans="1:21" x14ac:dyDescent="0.35">
      <c r="A172" s="24" t="s">
        <v>487</v>
      </c>
      <c r="B172" s="1" t="s">
        <v>20</v>
      </c>
      <c r="C172">
        <v>220</v>
      </c>
      <c r="D172">
        <v>0</v>
      </c>
      <c r="E172">
        <v>220</v>
      </c>
      <c r="F172">
        <v>51</v>
      </c>
      <c r="G172">
        <v>10</v>
      </c>
      <c r="H172">
        <v>0</v>
      </c>
      <c r="I172">
        <v>10</v>
      </c>
      <c r="J172">
        <v>1</v>
      </c>
      <c r="K172">
        <v>0</v>
      </c>
      <c r="L172">
        <v>1</v>
      </c>
      <c r="M172">
        <v>0</v>
      </c>
      <c r="N172">
        <v>0</v>
      </c>
      <c r="O172">
        <v>0</v>
      </c>
      <c r="P172">
        <v>0</v>
      </c>
      <c r="Q172">
        <v>0</v>
      </c>
      <c r="R172">
        <v>0</v>
      </c>
      <c r="S172">
        <v>0.05</v>
      </c>
      <c r="T172">
        <v>0</v>
      </c>
      <c r="U172">
        <v>0.05</v>
      </c>
    </row>
    <row r="173" spans="1:21" x14ac:dyDescent="0.35">
      <c r="A173" s="24" t="s">
        <v>488</v>
      </c>
      <c r="B173" s="1" t="s">
        <v>51</v>
      </c>
      <c r="C173">
        <v>258</v>
      </c>
      <c r="D173">
        <v>0</v>
      </c>
      <c r="E173">
        <v>258</v>
      </c>
      <c r="F173">
        <v>70</v>
      </c>
      <c r="G173">
        <v>37</v>
      </c>
      <c r="H173">
        <v>0</v>
      </c>
      <c r="I173">
        <v>37</v>
      </c>
      <c r="J173">
        <v>3</v>
      </c>
      <c r="K173">
        <v>0</v>
      </c>
      <c r="L173">
        <v>3</v>
      </c>
      <c r="M173">
        <v>1</v>
      </c>
      <c r="N173">
        <v>0</v>
      </c>
      <c r="O173">
        <v>1</v>
      </c>
      <c r="P173">
        <v>0</v>
      </c>
      <c r="Q173">
        <v>0</v>
      </c>
      <c r="R173">
        <v>0</v>
      </c>
      <c r="S173">
        <v>0.15891472868217055</v>
      </c>
      <c r="T173">
        <v>0</v>
      </c>
      <c r="U173">
        <v>0.15891472868217055</v>
      </c>
    </row>
    <row r="174" spans="1:21" x14ac:dyDescent="0.35">
      <c r="A174" s="24" t="s">
        <v>489</v>
      </c>
      <c r="B174" s="1" t="s">
        <v>18</v>
      </c>
      <c r="C174">
        <v>580</v>
      </c>
      <c r="D174">
        <v>0</v>
      </c>
      <c r="E174">
        <v>580</v>
      </c>
      <c r="F174">
        <v>138</v>
      </c>
      <c r="G174">
        <v>53</v>
      </c>
      <c r="H174">
        <v>0</v>
      </c>
      <c r="I174">
        <v>53</v>
      </c>
      <c r="J174">
        <v>8</v>
      </c>
      <c r="K174">
        <v>0</v>
      </c>
      <c r="L174">
        <v>8</v>
      </c>
      <c r="M174">
        <v>0</v>
      </c>
      <c r="N174">
        <v>0</v>
      </c>
      <c r="O174">
        <v>0</v>
      </c>
      <c r="P174">
        <v>0</v>
      </c>
      <c r="Q174">
        <v>0</v>
      </c>
      <c r="R174">
        <v>0</v>
      </c>
      <c r="S174">
        <v>0.10517241379310345</v>
      </c>
      <c r="T174">
        <v>0</v>
      </c>
      <c r="U174">
        <v>0.10517241379310345</v>
      </c>
    </row>
    <row r="175" spans="1:21" x14ac:dyDescent="0.35">
      <c r="A175" s="24" t="s">
        <v>490</v>
      </c>
      <c r="B175" s="1" t="s">
        <v>55</v>
      </c>
      <c r="C175">
        <v>345</v>
      </c>
      <c r="D175">
        <v>0</v>
      </c>
      <c r="E175">
        <v>345</v>
      </c>
      <c r="F175">
        <v>117</v>
      </c>
      <c r="G175">
        <v>95</v>
      </c>
      <c r="H175">
        <v>0</v>
      </c>
      <c r="I175">
        <v>95</v>
      </c>
      <c r="J175">
        <v>2</v>
      </c>
      <c r="K175">
        <v>0</v>
      </c>
      <c r="L175">
        <v>2</v>
      </c>
      <c r="M175">
        <v>0</v>
      </c>
      <c r="N175">
        <v>0</v>
      </c>
      <c r="O175">
        <v>0</v>
      </c>
      <c r="P175">
        <v>0</v>
      </c>
      <c r="Q175">
        <v>0</v>
      </c>
      <c r="R175">
        <v>0</v>
      </c>
      <c r="S175">
        <v>0.28115942028985508</v>
      </c>
      <c r="T175">
        <v>0</v>
      </c>
      <c r="U175">
        <v>0.28115942028985508</v>
      </c>
    </row>
    <row r="176" spans="1:21" x14ac:dyDescent="0.35">
      <c r="A176" s="24" t="s">
        <v>491</v>
      </c>
      <c r="B176" s="1" t="s">
        <v>21</v>
      </c>
      <c r="C176">
        <v>323</v>
      </c>
      <c r="D176">
        <v>0</v>
      </c>
      <c r="E176">
        <v>323</v>
      </c>
      <c r="F176">
        <v>112</v>
      </c>
      <c r="G176">
        <v>72</v>
      </c>
      <c r="H176">
        <v>0</v>
      </c>
      <c r="I176">
        <v>72</v>
      </c>
      <c r="J176">
        <v>2</v>
      </c>
      <c r="K176">
        <v>0</v>
      </c>
      <c r="L176">
        <v>2</v>
      </c>
      <c r="M176">
        <v>0</v>
      </c>
      <c r="N176">
        <v>0</v>
      </c>
      <c r="O176">
        <v>0</v>
      </c>
      <c r="P176">
        <v>0</v>
      </c>
      <c r="Q176">
        <v>0</v>
      </c>
      <c r="R176">
        <v>0</v>
      </c>
      <c r="S176">
        <v>0.22910216718266255</v>
      </c>
      <c r="T176">
        <v>0</v>
      </c>
      <c r="U176">
        <v>0.22910216718266255</v>
      </c>
    </row>
    <row r="177" spans="1:21" x14ac:dyDescent="0.35">
      <c r="A177" s="24" t="s">
        <v>441</v>
      </c>
      <c r="B177" s="1" t="s">
        <v>58</v>
      </c>
      <c r="C177">
        <v>1277</v>
      </c>
      <c r="D177">
        <v>0</v>
      </c>
      <c r="E177">
        <v>1277</v>
      </c>
      <c r="F177">
        <v>500</v>
      </c>
      <c r="G177">
        <v>221</v>
      </c>
      <c r="H177">
        <v>0</v>
      </c>
      <c r="I177">
        <v>221</v>
      </c>
      <c r="J177">
        <v>23</v>
      </c>
      <c r="K177">
        <v>0</v>
      </c>
      <c r="L177">
        <v>23</v>
      </c>
      <c r="M177">
        <v>2</v>
      </c>
      <c r="N177">
        <v>0</v>
      </c>
      <c r="O177">
        <v>2</v>
      </c>
      <c r="P177">
        <v>0</v>
      </c>
      <c r="Q177">
        <v>0</v>
      </c>
      <c r="R177">
        <v>0</v>
      </c>
      <c r="S177">
        <v>0.19263899765074394</v>
      </c>
      <c r="T177">
        <v>0</v>
      </c>
      <c r="U177">
        <v>0.19263899765074394</v>
      </c>
    </row>
    <row r="178" spans="1:21" x14ac:dyDescent="0.35">
      <c r="A178" s="24" t="s">
        <v>492</v>
      </c>
      <c r="B178" s="1" t="s">
        <v>66</v>
      </c>
      <c r="C178">
        <v>932</v>
      </c>
      <c r="D178">
        <v>0</v>
      </c>
      <c r="E178">
        <v>932</v>
      </c>
      <c r="F178">
        <v>410</v>
      </c>
      <c r="G178">
        <v>171</v>
      </c>
      <c r="H178">
        <v>0</v>
      </c>
      <c r="I178">
        <v>171</v>
      </c>
      <c r="J178">
        <v>18</v>
      </c>
      <c r="K178">
        <v>0</v>
      </c>
      <c r="L178">
        <v>18</v>
      </c>
      <c r="M178">
        <v>3</v>
      </c>
      <c r="N178">
        <v>0</v>
      </c>
      <c r="O178">
        <v>3</v>
      </c>
      <c r="P178">
        <v>0</v>
      </c>
      <c r="Q178">
        <v>0</v>
      </c>
      <c r="R178">
        <v>0</v>
      </c>
      <c r="S178">
        <v>0.20600858369098712</v>
      </c>
      <c r="T178">
        <v>0</v>
      </c>
      <c r="U178">
        <v>0.20600858369098712</v>
      </c>
    </row>
    <row r="179" spans="1:21" x14ac:dyDescent="0.35">
      <c r="A179" s="24" t="s">
        <v>493</v>
      </c>
      <c r="B179" s="1" t="s">
        <v>20</v>
      </c>
      <c r="C179">
        <v>485</v>
      </c>
      <c r="D179">
        <v>0</v>
      </c>
      <c r="E179">
        <v>485</v>
      </c>
      <c r="F179">
        <v>148</v>
      </c>
      <c r="G179">
        <v>82</v>
      </c>
      <c r="H179">
        <v>0</v>
      </c>
      <c r="I179">
        <v>82</v>
      </c>
      <c r="J179">
        <v>4</v>
      </c>
      <c r="K179">
        <v>0</v>
      </c>
      <c r="L179">
        <v>4</v>
      </c>
      <c r="M179">
        <v>0</v>
      </c>
      <c r="N179">
        <v>0</v>
      </c>
      <c r="O179">
        <v>0</v>
      </c>
      <c r="P179">
        <v>0</v>
      </c>
      <c r="Q179">
        <v>0</v>
      </c>
      <c r="R179">
        <v>0</v>
      </c>
      <c r="S179">
        <v>0.17731958762886599</v>
      </c>
      <c r="T179">
        <v>0</v>
      </c>
      <c r="U179">
        <v>0.17731958762886599</v>
      </c>
    </row>
    <row r="180" spans="1:21" x14ac:dyDescent="0.35">
      <c r="A180" s="24" t="s">
        <v>494</v>
      </c>
      <c r="B180" s="1" t="s">
        <v>51</v>
      </c>
      <c r="C180">
        <v>274</v>
      </c>
      <c r="D180">
        <v>0</v>
      </c>
      <c r="E180">
        <v>274</v>
      </c>
      <c r="F180">
        <v>83</v>
      </c>
      <c r="G180">
        <v>40</v>
      </c>
      <c r="H180">
        <v>0</v>
      </c>
      <c r="I180">
        <v>40</v>
      </c>
      <c r="J180">
        <v>6</v>
      </c>
      <c r="K180">
        <v>0</v>
      </c>
      <c r="L180">
        <v>6</v>
      </c>
      <c r="M180">
        <v>0</v>
      </c>
      <c r="N180">
        <v>0</v>
      </c>
      <c r="O180">
        <v>0</v>
      </c>
      <c r="P180">
        <v>0</v>
      </c>
      <c r="Q180">
        <v>0</v>
      </c>
      <c r="R180">
        <v>0</v>
      </c>
      <c r="S180">
        <v>0.16788321167883211</v>
      </c>
      <c r="T180">
        <v>0</v>
      </c>
      <c r="U180">
        <v>0.16788321167883211</v>
      </c>
    </row>
    <row r="181" spans="1:21" x14ac:dyDescent="0.35">
      <c r="A181" s="24" t="s">
        <v>495</v>
      </c>
      <c r="B181" s="1" t="s">
        <v>18</v>
      </c>
      <c r="C181">
        <v>298</v>
      </c>
      <c r="D181">
        <v>0</v>
      </c>
      <c r="E181">
        <v>298</v>
      </c>
      <c r="F181">
        <v>107</v>
      </c>
      <c r="G181">
        <v>36</v>
      </c>
      <c r="H181">
        <v>0</v>
      </c>
      <c r="I181">
        <v>36</v>
      </c>
      <c r="J181">
        <v>1</v>
      </c>
      <c r="K181">
        <v>0</v>
      </c>
      <c r="L181">
        <v>1</v>
      </c>
      <c r="M181">
        <v>0</v>
      </c>
      <c r="N181">
        <v>0</v>
      </c>
      <c r="O181">
        <v>0</v>
      </c>
      <c r="P181">
        <v>0</v>
      </c>
      <c r="Q181">
        <v>0</v>
      </c>
      <c r="R181">
        <v>0</v>
      </c>
      <c r="S181">
        <v>0.12416107382550336</v>
      </c>
      <c r="T181">
        <v>0</v>
      </c>
      <c r="U181">
        <v>0.12416107382550336</v>
      </c>
    </row>
    <row r="182" spans="1:21" x14ac:dyDescent="0.35">
      <c r="A182" s="24" t="s">
        <v>496</v>
      </c>
      <c r="B182" s="1" t="s">
        <v>55</v>
      </c>
      <c r="C182">
        <v>345</v>
      </c>
      <c r="D182">
        <v>0</v>
      </c>
      <c r="E182">
        <v>345</v>
      </c>
      <c r="F182">
        <v>127</v>
      </c>
      <c r="G182">
        <v>59</v>
      </c>
      <c r="H182">
        <v>0</v>
      </c>
      <c r="I182">
        <v>59</v>
      </c>
      <c r="J182">
        <v>3</v>
      </c>
      <c r="K182">
        <v>0</v>
      </c>
      <c r="L182">
        <v>3</v>
      </c>
      <c r="M182">
        <v>0</v>
      </c>
      <c r="N182">
        <v>0</v>
      </c>
      <c r="O182">
        <v>0</v>
      </c>
      <c r="P182">
        <v>0</v>
      </c>
      <c r="Q182">
        <v>0</v>
      </c>
      <c r="R182">
        <v>0</v>
      </c>
      <c r="S182">
        <v>0.17971014492753623</v>
      </c>
      <c r="T182">
        <v>0</v>
      </c>
      <c r="U182">
        <v>0.17971014492753623</v>
      </c>
    </row>
    <row r="183" spans="1:21" x14ac:dyDescent="0.35">
      <c r="A183" s="24" t="s">
        <v>497</v>
      </c>
      <c r="B183" s="1" t="s">
        <v>21</v>
      </c>
      <c r="C183">
        <v>193</v>
      </c>
      <c r="D183">
        <v>0</v>
      </c>
      <c r="E183">
        <v>193</v>
      </c>
      <c r="F183">
        <v>112</v>
      </c>
      <c r="G183">
        <v>18</v>
      </c>
      <c r="H183">
        <v>0</v>
      </c>
      <c r="I183">
        <v>18</v>
      </c>
      <c r="J183">
        <v>0</v>
      </c>
      <c r="K183">
        <v>0</v>
      </c>
      <c r="L183">
        <v>0</v>
      </c>
      <c r="M183">
        <v>0</v>
      </c>
      <c r="N183">
        <v>0</v>
      </c>
      <c r="O183">
        <v>0</v>
      </c>
      <c r="P183">
        <v>0</v>
      </c>
      <c r="Q183">
        <v>0</v>
      </c>
      <c r="R183">
        <v>0</v>
      </c>
      <c r="S183">
        <v>9.3264248704663211E-2</v>
      </c>
      <c r="T183">
        <v>0</v>
      </c>
      <c r="U183">
        <v>9.3264248704663211E-2</v>
      </c>
    </row>
    <row r="184" spans="1:21" x14ac:dyDescent="0.35">
      <c r="A184" s="24" t="s">
        <v>498</v>
      </c>
      <c r="B184" s="1" t="s">
        <v>58</v>
      </c>
      <c r="C184">
        <v>364</v>
      </c>
      <c r="D184">
        <v>0</v>
      </c>
      <c r="E184">
        <v>364</v>
      </c>
      <c r="F184">
        <v>108</v>
      </c>
      <c r="G184">
        <v>32</v>
      </c>
      <c r="H184">
        <v>0</v>
      </c>
      <c r="I184">
        <v>32</v>
      </c>
      <c r="J184">
        <v>1</v>
      </c>
      <c r="K184">
        <v>0</v>
      </c>
      <c r="L184">
        <v>1</v>
      </c>
      <c r="M184">
        <v>0</v>
      </c>
      <c r="N184">
        <v>0</v>
      </c>
      <c r="O184">
        <v>0</v>
      </c>
      <c r="P184">
        <v>0</v>
      </c>
      <c r="Q184">
        <v>0</v>
      </c>
      <c r="R184">
        <v>0</v>
      </c>
      <c r="S184">
        <v>9.0659340659340656E-2</v>
      </c>
      <c r="T184">
        <v>0</v>
      </c>
      <c r="U184">
        <v>9.0659340659340656E-2</v>
      </c>
    </row>
    <row r="185" spans="1:21" x14ac:dyDescent="0.35">
      <c r="A185" s="24">
        <v>45664</v>
      </c>
      <c r="B185" s="1" t="s">
        <v>66</v>
      </c>
      <c r="C185">
        <v>541</v>
      </c>
      <c r="D185">
        <v>0</v>
      </c>
      <c r="E185">
        <v>541</v>
      </c>
      <c r="F185">
        <v>155</v>
      </c>
      <c r="G185">
        <v>47</v>
      </c>
      <c r="H185">
        <v>0</v>
      </c>
      <c r="I185">
        <v>47</v>
      </c>
      <c r="J185">
        <v>1</v>
      </c>
      <c r="K185">
        <v>0</v>
      </c>
      <c r="L185">
        <v>1</v>
      </c>
      <c r="M185">
        <v>0</v>
      </c>
      <c r="N185">
        <v>0</v>
      </c>
      <c r="O185">
        <v>0</v>
      </c>
      <c r="P185">
        <v>0</v>
      </c>
      <c r="Q185">
        <v>0</v>
      </c>
      <c r="R185">
        <v>0</v>
      </c>
      <c r="S185">
        <v>8.8724584103512014E-2</v>
      </c>
      <c r="T185">
        <v>0</v>
      </c>
      <c r="U185">
        <v>8.8724584103512014E-2</v>
      </c>
    </row>
    <row r="186" spans="1:21" x14ac:dyDescent="0.35">
      <c r="A186" s="24">
        <v>45695</v>
      </c>
      <c r="B186" s="1" t="s">
        <v>20</v>
      </c>
      <c r="C186">
        <v>1274</v>
      </c>
      <c r="D186">
        <v>0</v>
      </c>
      <c r="E186">
        <v>1274</v>
      </c>
      <c r="F186">
        <v>452</v>
      </c>
      <c r="G186">
        <v>228</v>
      </c>
      <c r="H186">
        <v>0</v>
      </c>
      <c r="I186">
        <v>228</v>
      </c>
      <c r="J186">
        <v>13</v>
      </c>
      <c r="K186">
        <v>0</v>
      </c>
      <c r="L186">
        <v>13</v>
      </c>
      <c r="M186">
        <v>3</v>
      </c>
      <c r="N186">
        <v>0</v>
      </c>
      <c r="O186">
        <v>3</v>
      </c>
      <c r="P186">
        <v>1</v>
      </c>
      <c r="Q186">
        <v>0</v>
      </c>
      <c r="R186">
        <v>1</v>
      </c>
      <c r="S186">
        <v>0.19230769230769232</v>
      </c>
      <c r="T186">
        <v>0</v>
      </c>
      <c r="U186">
        <v>0.19230769230769232</v>
      </c>
    </row>
    <row r="187" spans="1:21" x14ac:dyDescent="0.35">
      <c r="A187" s="24">
        <v>45723</v>
      </c>
      <c r="B187" s="1" t="s">
        <v>51</v>
      </c>
      <c r="C187">
        <v>484</v>
      </c>
      <c r="D187">
        <v>0</v>
      </c>
      <c r="E187">
        <v>484</v>
      </c>
      <c r="F187">
        <v>235</v>
      </c>
      <c r="G187">
        <v>44</v>
      </c>
      <c r="H187">
        <v>0</v>
      </c>
      <c r="I187">
        <v>44</v>
      </c>
      <c r="J187">
        <v>2</v>
      </c>
      <c r="K187">
        <v>0</v>
      </c>
      <c r="L187">
        <v>2</v>
      </c>
      <c r="M187">
        <v>0</v>
      </c>
      <c r="N187">
        <v>0</v>
      </c>
      <c r="O187">
        <v>0</v>
      </c>
      <c r="P187">
        <v>0</v>
      </c>
      <c r="Q187">
        <v>0</v>
      </c>
      <c r="R187">
        <v>0</v>
      </c>
      <c r="S187">
        <v>9.5041322314049589E-2</v>
      </c>
      <c r="T187">
        <v>0</v>
      </c>
      <c r="U187">
        <v>9.5041322314049589E-2</v>
      </c>
    </row>
    <row r="188" spans="1:21" x14ac:dyDescent="0.35">
      <c r="A188" s="24">
        <v>45754</v>
      </c>
      <c r="B188" s="1" t="s">
        <v>18</v>
      </c>
      <c r="C188">
        <v>260</v>
      </c>
      <c r="D188">
        <v>0</v>
      </c>
      <c r="E188">
        <v>260</v>
      </c>
      <c r="F188">
        <v>100</v>
      </c>
      <c r="G188">
        <v>36</v>
      </c>
      <c r="H188">
        <v>0</v>
      </c>
      <c r="I188">
        <v>36</v>
      </c>
      <c r="J188">
        <v>7</v>
      </c>
      <c r="K188">
        <v>0</v>
      </c>
      <c r="L188">
        <v>7</v>
      </c>
      <c r="M188">
        <v>0</v>
      </c>
      <c r="N188">
        <v>0</v>
      </c>
      <c r="O188">
        <v>0</v>
      </c>
      <c r="P188">
        <v>0</v>
      </c>
      <c r="Q188">
        <v>0</v>
      </c>
      <c r="R188">
        <v>0</v>
      </c>
      <c r="S188">
        <v>0.16538461538461538</v>
      </c>
      <c r="T188">
        <v>0</v>
      </c>
      <c r="U188">
        <v>0.16538461538461538</v>
      </c>
    </row>
    <row r="189" spans="1:21" x14ac:dyDescent="0.35">
      <c r="A189" s="24">
        <v>45784</v>
      </c>
      <c r="B189" s="1" t="s">
        <v>55</v>
      </c>
      <c r="C189">
        <v>134</v>
      </c>
      <c r="D189">
        <v>0</v>
      </c>
      <c r="E189">
        <v>134</v>
      </c>
      <c r="F189">
        <v>73</v>
      </c>
      <c r="G189">
        <v>17</v>
      </c>
      <c r="H189">
        <v>0</v>
      </c>
      <c r="I189">
        <v>17</v>
      </c>
      <c r="J189">
        <v>0</v>
      </c>
      <c r="K189">
        <v>0</v>
      </c>
      <c r="L189">
        <v>0</v>
      </c>
      <c r="M189">
        <v>0</v>
      </c>
      <c r="N189">
        <v>0</v>
      </c>
      <c r="O189">
        <v>0</v>
      </c>
      <c r="P189">
        <v>0</v>
      </c>
      <c r="Q189">
        <v>0</v>
      </c>
      <c r="R189">
        <v>0</v>
      </c>
      <c r="S189">
        <v>0.12686567164179105</v>
      </c>
      <c r="T189">
        <v>0</v>
      </c>
      <c r="U189">
        <v>0.12686567164179105</v>
      </c>
    </row>
    <row r="190" spans="1:21" x14ac:dyDescent="0.35">
      <c r="A190" s="24">
        <v>45815</v>
      </c>
      <c r="B190" s="1" t="s">
        <v>21</v>
      </c>
      <c r="C190">
        <v>105</v>
      </c>
      <c r="D190">
        <v>0</v>
      </c>
      <c r="E190">
        <v>105</v>
      </c>
      <c r="F190">
        <v>45</v>
      </c>
      <c r="G190">
        <v>5</v>
      </c>
      <c r="H190">
        <v>0</v>
      </c>
      <c r="I190">
        <v>5</v>
      </c>
      <c r="J190">
        <v>0</v>
      </c>
      <c r="K190">
        <v>0</v>
      </c>
      <c r="L190">
        <v>0</v>
      </c>
      <c r="M190">
        <v>0</v>
      </c>
      <c r="N190">
        <v>0</v>
      </c>
      <c r="O190">
        <v>0</v>
      </c>
      <c r="P190">
        <v>0</v>
      </c>
      <c r="Q190">
        <v>0</v>
      </c>
      <c r="R190">
        <v>0</v>
      </c>
      <c r="S190">
        <v>4.7619047619047616E-2</v>
      </c>
      <c r="T190">
        <v>0</v>
      </c>
      <c r="U190">
        <v>4.7619047619047616E-2</v>
      </c>
    </row>
    <row r="191" spans="1:21" x14ac:dyDescent="0.35">
      <c r="A191" s="24">
        <v>45845</v>
      </c>
      <c r="B191" s="1" t="s">
        <v>58</v>
      </c>
      <c r="C191">
        <v>252</v>
      </c>
      <c r="D191">
        <v>0</v>
      </c>
      <c r="E191">
        <v>252</v>
      </c>
      <c r="F191">
        <v>67</v>
      </c>
      <c r="G191">
        <v>40</v>
      </c>
      <c r="H191">
        <v>0</v>
      </c>
      <c r="I191">
        <v>40</v>
      </c>
      <c r="J191">
        <v>0</v>
      </c>
      <c r="K191">
        <v>0</v>
      </c>
      <c r="L191">
        <v>0</v>
      </c>
      <c r="M191">
        <v>0</v>
      </c>
      <c r="N191">
        <v>0</v>
      </c>
      <c r="O191">
        <v>0</v>
      </c>
      <c r="P191">
        <v>0</v>
      </c>
      <c r="Q191">
        <v>0</v>
      </c>
      <c r="R191">
        <v>0</v>
      </c>
      <c r="S191">
        <v>0.15873015873015872</v>
      </c>
      <c r="T191">
        <v>0</v>
      </c>
      <c r="U191">
        <v>0.15873015873015872</v>
      </c>
    </row>
    <row r="192" spans="1:21" x14ac:dyDescent="0.35">
      <c r="A192" s="24">
        <v>45876</v>
      </c>
      <c r="B192" s="1" t="s">
        <v>66</v>
      </c>
      <c r="C192">
        <v>331</v>
      </c>
      <c r="D192">
        <v>0</v>
      </c>
      <c r="E192">
        <v>331</v>
      </c>
      <c r="F192">
        <v>77</v>
      </c>
      <c r="G192">
        <v>43</v>
      </c>
      <c r="H192">
        <v>0</v>
      </c>
      <c r="I192">
        <v>43</v>
      </c>
      <c r="J192">
        <v>2</v>
      </c>
      <c r="K192">
        <v>0</v>
      </c>
      <c r="L192">
        <v>2</v>
      </c>
      <c r="M192">
        <v>0</v>
      </c>
      <c r="N192">
        <v>0</v>
      </c>
      <c r="O192">
        <v>0</v>
      </c>
      <c r="P192">
        <v>0</v>
      </c>
      <c r="Q192">
        <v>0</v>
      </c>
      <c r="R192">
        <v>0</v>
      </c>
      <c r="S192">
        <v>0.13595166163141995</v>
      </c>
      <c r="T192">
        <v>0</v>
      </c>
      <c r="U192">
        <v>0.13595166163141995</v>
      </c>
    </row>
    <row r="193" spans="1:21" x14ac:dyDescent="0.35">
      <c r="A193" s="24">
        <v>45907</v>
      </c>
      <c r="B193" s="1" t="s">
        <v>20</v>
      </c>
      <c r="C193">
        <v>280</v>
      </c>
      <c r="D193">
        <v>0</v>
      </c>
      <c r="E193">
        <v>280</v>
      </c>
      <c r="F193">
        <v>79</v>
      </c>
      <c r="G193">
        <v>70</v>
      </c>
      <c r="H193">
        <v>0</v>
      </c>
      <c r="I193">
        <v>70</v>
      </c>
      <c r="J193">
        <v>3</v>
      </c>
      <c r="K193">
        <v>0</v>
      </c>
      <c r="L193">
        <v>3</v>
      </c>
      <c r="M193">
        <v>0</v>
      </c>
      <c r="N193">
        <v>0</v>
      </c>
      <c r="O193">
        <v>0</v>
      </c>
      <c r="P193">
        <v>0</v>
      </c>
      <c r="Q193">
        <v>0</v>
      </c>
      <c r="R193">
        <v>0</v>
      </c>
      <c r="S193">
        <v>0.26071428571428573</v>
      </c>
      <c r="T193">
        <v>0</v>
      </c>
      <c r="U193">
        <v>0.26071428571428573</v>
      </c>
    </row>
    <row r="194" spans="1:21" x14ac:dyDescent="0.35">
      <c r="A194" s="24">
        <v>45937</v>
      </c>
      <c r="B194" s="1" t="s">
        <v>51</v>
      </c>
      <c r="C194">
        <v>248</v>
      </c>
      <c r="D194">
        <v>0</v>
      </c>
      <c r="E194">
        <v>248</v>
      </c>
      <c r="F194">
        <v>87</v>
      </c>
      <c r="G194">
        <v>70</v>
      </c>
      <c r="H194">
        <v>0</v>
      </c>
      <c r="I194">
        <v>70</v>
      </c>
      <c r="J194">
        <v>2</v>
      </c>
      <c r="K194">
        <v>0</v>
      </c>
      <c r="L194">
        <v>2</v>
      </c>
      <c r="M194">
        <v>0</v>
      </c>
      <c r="N194">
        <v>0</v>
      </c>
      <c r="O194">
        <v>0</v>
      </c>
      <c r="P194">
        <v>0</v>
      </c>
      <c r="Q194">
        <v>0</v>
      </c>
      <c r="R194">
        <v>0</v>
      </c>
      <c r="S194">
        <v>0.29032258064516131</v>
      </c>
      <c r="T194">
        <v>0</v>
      </c>
      <c r="U194">
        <v>0.29032258064516131</v>
      </c>
    </row>
    <row r="195" spans="1:21" x14ac:dyDescent="0.35">
      <c r="A195" s="24">
        <v>45968</v>
      </c>
      <c r="B195" s="1" t="s">
        <v>18</v>
      </c>
      <c r="C195">
        <v>1915</v>
      </c>
      <c r="D195">
        <v>0</v>
      </c>
      <c r="E195">
        <v>1915</v>
      </c>
      <c r="F195">
        <v>777</v>
      </c>
      <c r="G195">
        <v>560</v>
      </c>
      <c r="H195">
        <v>0</v>
      </c>
      <c r="I195">
        <v>560</v>
      </c>
      <c r="J195">
        <v>39</v>
      </c>
      <c r="K195">
        <v>0</v>
      </c>
      <c r="L195">
        <v>39</v>
      </c>
      <c r="M195">
        <v>3</v>
      </c>
      <c r="N195">
        <v>0</v>
      </c>
      <c r="O195">
        <v>3</v>
      </c>
      <c r="P195">
        <v>0</v>
      </c>
      <c r="Q195">
        <v>0</v>
      </c>
      <c r="R195">
        <v>0</v>
      </c>
      <c r="S195">
        <v>0.3143603133159269</v>
      </c>
      <c r="T195">
        <v>0</v>
      </c>
      <c r="U195">
        <v>0.3143603133159269</v>
      </c>
    </row>
    <row r="196" spans="1:21" x14ac:dyDescent="0.35">
      <c r="A196" s="24">
        <v>45998</v>
      </c>
      <c r="B196" s="1" t="s">
        <v>55</v>
      </c>
      <c r="C196">
        <v>616</v>
      </c>
      <c r="D196">
        <v>0</v>
      </c>
      <c r="E196">
        <v>616</v>
      </c>
      <c r="F196">
        <v>255</v>
      </c>
      <c r="G196">
        <v>153</v>
      </c>
      <c r="H196">
        <v>0</v>
      </c>
      <c r="I196">
        <v>153</v>
      </c>
      <c r="J196">
        <v>4</v>
      </c>
      <c r="K196">
        <v>0</v>
      </c>
      <c r="L196">
        <v>4</v>
      </c>
      <c r="M196">
        <v>0</v>
      </c>
      <c r="N196">
        <v>0</v>
      </c>
      <c r="O196">
        <v>0</v>
      </c>
      <c r="P196">
        <v>0</v>
      </c>
      <c r="Q196">
        <v>0</v>
      </c>
      <c r="R196">
        <v>0</v>
      </c>
      <c r="S196">
        <v>0.25487012987012986</v>
      </c>
      <c r="T196">
        <v>0</v>
      </c>
      <c r="U196">
        <v>0.25487012987012986</v>
      </c>
    </row>
    <row r="197" spans="1:21" x14ac:dyDescent="0.35">
      <c r="A197" s="24" t="s">
        <v>499</v>
      </c>
      <c r="B197" s="1" t="s">
        <v>21</v>
      </c>
      <c r="C197">
        <v>1070</v>
      </c>
      <c r="D197">
        <v>0</v>
      </c>
      <c r="E197">
        <v>1070</v>
      </c>
      <c r="F197">
        <v>268</v>
      </c>
      <c r="G197">
        <v>142</v>
      </c>
      <c r="H197">
        <v>0</v>
      </c>
      <c r="I197">
        <v>142</v>
      </c>
      <c r="J197">
        <v>5</v>
      </c>
      <c r="K197">
        <v>0</v>
      </c>
      <c r="L197">
        <v>5</v>
      </c>
      <c r="M197">
        <v>0</v>
      </c>
      <c r="N197">
        <v>0</v>
      </c>
      <c r="O197">
        <v>0</v>
      </c>
      <c r="P197">
        <v>0</v>
      </c>
      <c r="Q197">
        <v>0</v>
      </c>
      <c r="R197">
        <v>0</v>
      </c>
      <c r="S197">
        <v>0.13738317757009347</v>
      </c>
      <c r="T197">
        <v>0</v>
      </c>
      <c r="U197">
        <v>0.13738317757009347</v>
      </c>
    </row>
    <row r="198" spans="1:21" x14ac:dyDescent="0.35">
      <c r="A198" s="24" t="s">
        <v>500</v>
      </c>
      <c r="B198" s="1" t="s">
        <v>58</v>
      </c>
      <c r="C198">
        <v>911</v>
      </c>
      <c r="D198">
        <v>0</v>
      </c>
      <c r="E198">
        <v>911</v>
      </c>
      <c r="F198">
        <v>239</v>
      </c>
      <c r="G198">
        <v>106</v>
      </c>
      <c r="H198">
        <v>0</v>
      </c>
      <c r="I198">
        <v>106</v>
      </c>
      <c r="J198">
        <v>0</v>
      </c>
      <c r="K198">
        <v>0</v>
      </c>
      <c r="L198">
        <v>0</v>
      </c>
      <c r="M198">
        <v>0</v>
      </c>
      <c r="N198">
        <v>0</v>
      </c>
      <c r="O198">
        <v>0</v>
      </c>
      <c r="P198">
        <v>0</v>
      </c>
      <c r="Q198">
        <v>0</v>
      </c>
      <c r="R198">
        <v>0</v>
      </c>
      <c r="S198">
        <v>0.1163556531284303</v>
      </c>
      <c r="T198">
        <v>0</v>
      </c>
      <c r="U198">
        <v>0.1163556531284303</v>
      </c>
    </row>
    <row r="199" spans="1:21" x14ac:dyDescent="0.35">
      <c r="A199" s="24" t="s">
        <v>501</v>
      </c>
      <c r="B199" s="1" t="s">
        <v>66</v>
      </c>
      <c r="C199">
        <v>374</v>
      </c>
      <c r="D199">
        <v>0</v>
      </c>
      <c r="E199">
        <v>374</v>
      </c>
      <c r="F199">
        <v>115</v>
      </c>
      <c r="G199">
        <v>27</v>
      </c>
      <c r="H199">
        <v>0</v>
      </c>
      <c r="I199">
        <v>27</v>
      </c>
      <c r="J199">
        <v>3</v>
      </c>
      <c r="K199">
        <v>0</v>
      </c>
      <c r="L199">
        <v>3</v>
      </c>
      <c r="M199">
        <v>0</v>
      </c>
      <c r="N199">
        <v>0</v>
      </c>
      <c r="O199">
        <v>0</v>
      </c>
      <c r="P199">
        <v>0</v>
      </c>
      <c r="Q199">
        <v>0</v>
      </c>
      <c r="R199">
        <v>0</v>
      </c>
      <c r="S199">
        <v>8.0213903743315509E-2</v>
      </c>
      <c r="T199">
        <v>0</v>
      </c>
      <c r="U199">
        <v>8.0213903743315509E-2</v>
      </c>
    </row>
    <row r="200" spans="1:21" x14ac:dyDescent="0.35">
      <c r="A200" s="24" t="s">
        <v>502</v>
      </c>
      <c r="B200" s="1" t="s">
        <v>20</v>
      </c>
      <c r="C200">
        <v>270</v>
      </c>
      <c r="D200">
        <v>0</v>
      </c>
      <c r="E200">
        <v>270</v>
      </c>
      <c r="F200">
        <v>86</v>
      </c>
      <c r="G200">
        <v>61</v>
      </c>
      <c r="H200">
        <v>0</v>
      </c>
      <c r="I200">
        <v>61</v>
      </c>
      <c r="J200">
        <v>1</v>
      </c>
      <c r="K200">
        <v>0</v>
      </c>
      <c r="L200">
        <v>1</v>
      </c>
      <c r="M200">
        <v>0</v>
      </c>
      <c r="N200">
        <v>0</v>
      </c>
      <c r="O200">
        <v>0</v>
      </c>
      <c r="P200">
        <v>0</v>
      </c>
      <c r="Q200">
        <v>0</v>
      </c>
      <c r="R200">
        <v>0</v>
      </c>
      <c r="S200">
        <v>0.22962962962962963</v>
      </c>
      <c r="T200">
        <v>0</v>
      </c>
      <c r="U200">
        <v>0.22962962962962963</v>
      </c>
    </row>
    <row r="201" spans="1:21" x14ac:dyDescent="0.35">
      <c r="A201" s="24" t="s">
        <v>503</v>
      </c>
      <c r="B201" s="1" t="s">
        <v>51</v>
      </c>
      <c r="C201">
        <v>146</v>
      </c>
      <c r="D201">
        <v>0</v>
      </c>
      <c r="E201">
        <v>146</v>
      </c>
      <c r="F201">
        <v>40</v>
      </c>
      <c r="G201">
        <v>27</v>
      </c>
      <c r="H201">
        <v>0</v>
      </c>
      <c r="I201">
        <v>27</v>
      </c>
      <c r="J201">
        <v>1</v>
      </c>
      <c r="K201">
        <v>0</v>
      </c>
      <c r="L201">
        <v>1</v>
      </c>
      <c r="M201">
        <v>0</v>
      </c>
      <c r="N201">
        <v>0</v>
      </c>
      <c r="O201">
        <v>0</v>
      </c>
      <c r="P201">
        <v>0</v>
      </c>
      <c r="Q201">
        <v>0</v>
      </c>
      <c r="R201">
        <v>0</v>
      </c>
      <c r="S201">
        <v>0.19178082191780821</v>
      </c>
      <c r="T201">
        <v>0</v>
      </c>
      <c r="U201">
        <v>0.19178082191780821</v>
      </c>
    </row>
    <row r="202" spans="1:21" x14ac:dyDescent="0.35">
      <c r="A202" s="24" t="s">
        <v>504</v>
      </c>
      <c r="B202" s="1" t="s">
        <v>18</v>
      </c>
      <c r="C202">
        <v>270</v>
      </c>
      <c r="D202">
        <v>0</v>
      </c>
      <c r="E202">
        <v>270</v>
      </c>
      <c r="F202">
        <v>76</v>
      </c>
      <c r="G202">
        <v>33</v>
      </c>
      <c r="H202">
        <v>0</v>
      </c>
      <c r="I202">
        <v>33</v>
      </c>
      <c r="J202">
        <v>3</v>
      </c>
      <c r="K202">
        <v>0</v>
      </c>
      <c r="L202">
        <v>3</v>
      </c>
      <c r="M202">
        <v>0</v>
      </c>
      <c r="N202">
        <v>0</v>
      </c>
      <c r="O202">
        <v>0</v>
      </c>
      <c r="P202">
        <v>0</v>
      </c>
      <c r="Q202">
        <v>0</v>
      </c>
      <c r="R202">
        <v>0</v>
      </c>
      <c r="S202">
        <v>0.13333333333333333</v>
      </c>
      <c r="T202">
        <v>0</v>
      </c>
      <c r="U202">
        <v>0.13333333333333333</v>
      </c>
    </row>
    <row r="203" spans="1:21" x14ac:dyDescent="0.35">
      <c r="A203" s="24" t="s">
        <v>505</v>
      </c>
      <c r="B203" s="1" t="s">
        <v>55</v>
      </c>
      <c r="C203">
        <v>158</v>
      </c>
      <c r="D203">
        <v>0</v>
      </c>
      <c r="E203">
        <v>158</v>
      </c>
      <c r="F203">
        <v>49</v>
      </c>
      <c r="G203">
        <v>25</v>
      </c>
      <c r="H203">
        <v>0</v>
      </c>
      <c r="I203">
        <v>25</v>
      </c>
      <c r="J203">
        <v>0</v>
      </c>
      <c r="K203">
        <v>0</v>
      </c>
      <c r="L203">
        <v>0</v>
      </c>
      <c r="M203">
        <v>0</v>
      </c>
      <c r="N203">
        <v>0</v>
      </c>
      <c r="O203">
        <v>0</v>
      </c>
      <c r="P203">
        <v>0</v>
      </c>
      <c r="Q203">
        <v>0</v>
      </c>
      <c r="R203">
        <v>0</v>
      </c>
      <c r="S203">
        <v>0.15822784810126583</v>
      </c>
      <c r="T203">
        <v>0</v>
      </c>
      <c r="U203">
        <v>0.15822784810126583</v>
      </c>
    </row>
    <row r="204" spans="1:21" x14ac:dyDescent="0.35">
      <c r="A204" s="24" t="s">
        <v>506</v>
      </c>
      <c r="B204" s="1" t="s">
        <v>21</v>
      </c>
      <c r="C204">
        <v>195</v>
      </c>
      <c r="D204">
        <v>0</v>
      </c>
      <c r="E204">
        <v>195</v>
      </c>
      <c r="F204">
        <v>69</v>
      </c>
      <c r="G204">
        <v>50</v>
      </c>
      <c r="H204">
        <v>0</v>
      </c>
      <c r="I204">
        <v>50</v>
      </c>
      <c r="J204">
        <v>1</v>
      </c>
      <c r="K204">
        <v>0</v>
      </c>
      <c r="L204">
        <v>1</v>
      </c>
      <c r="M204">
        <v>0</v>
      </c>
      <c r="N204">
        <v>0</v>
      </c>
      <c r="O204">
        <v>0</v>
      </c>
      <c r="P204">
        <v>0</v>
      </c>
      <c r="Q204">
        <v>0</v>
      </c>
      <c r="R204">
        <v>0</v>
      </c>
      <c r="S204">
        <v>0.26153846153846155</v>
      </c>
      <c r="T204">
        <v>0</v>
      </c>
      <c r="U204">
        <v>0.26153846153846155</v>
      </c>
    </row>
    <row r="205" spans="1:21" x14ac:dyDescent="0.35">
      <c r="A205" s="24" t="s">
        <v>442</v>
      </c>
      <c r="B205" s="1" t="s">
        <v>58</v>
      </c>
      <c r="C205">
        <v>619</v>
      </c>
      <c r="D205">
        <v>0</v>
      </c>
      <c r="E205">
        <v>619</v>
      </c>
      <c r="F205">
        <v>298</v>
      </c>
      <c r="G205">
        <v>58</v>
      </c>
      <c r="H205">
        <v>0</v>
      </c>
      <c r="I205">
        <v>58</v>
      </c>
      <c r="J205">
        <v>6</v>
      </c>
      <c r="K205">
        <v>0</v>
      </c>
      <c r="L205">
        <v>6</v>
      </c>
      <c r="M205">
        <v>2</v>
      </c>
      <c r="N205">
        <v>0</v>
      </c>
      <c r="O205">
        <v>2</v>
      </c>
      <c r="P205">
        <v>0</v>
      </c>
      <c r="Q205">
        <v>0</v>
      </c>
      <c r="R205">
        <v>0</v>
      </c>
      <c r="S205">
        <v>0.10662358642972536</v>
      </c>
      <c r="T205">
        <v>0</v>
      </c>
      <c r="U205">
        <v>0.10662358642972536</v>
      </c>
    </row>
    <row r="206" spans="1:21" x14ac:dyDescent="0.35">
      <c r="A206" s="24" t="s">
        <v>507</v>
      </c>
      <c r="B206" s="1" t="s">
        <v>66</v>
      </c>
      <c r="C206">
        <v>372</v>
      </c>
      <c r="D206">
        <v>0</v>
      </c>
      <c r="E206">
        <v>372</v>
      </c>
      <c r="F206">
        <v>186</v>
      </c>
      <c r="G206">
        <v>23</v>
      </c>
      <c r="H206">
        <v>0</v>
      </c>
      <c r="I206">
        <v>23</v>
      </c>
      <c r="J206">
        <v>6</v>
      </c>
      <c r="K206">
        <v>0</v>
      </c>
      <c r="L206">
        <v>6</v>
      </c>
      <c r="M206">
        <v>0</v>
      </c>
      <c r="N206">
        <v>0</v>
      </c>
      <c r="O206">
        <v>0</v>
      </c>
      <c r="P206">
        <v>0</v>
      </c>
      <c r="Q206">
        <v>0</v>
      </c>
      <c r="R206">
        <v>0</v>
      </c>
      <c r="S206">
        <v>7.7956989247311828E-2</v>
      </c>
      <c r="T206">
        <v>0</v>
      </c>
      <c r="U206">
        <v>7.7956989247311828E-2</v>
      </c>
    </row>
    <row r="207" spans="1:21" x14ac:dyDescent="0.35">
      <c r="A207" s="24" t="s">
        <v>508</v>
      </c>
      <c r="B207" s="1" t="s">
        <v>20</v>
      </c>
      <c r="C207">
        <v>351</v>
      </c>
      <c r="D207">
        <v>0</v>
      </c>
      <c r="E207">
        <v>351</v>
      </c>
      <c r="F207">
        <v>126</v>
      </c>
      <c r="G207">
        <v>24</v>
      </c>
      <c r="H207">
        <v>0</v>
      </c>
      <c r="I207">
        <v>24</v>
      </c>
      <c r="J207">
        <v>5</v>
      </c>
      <c r="K207">
        <v>0</v>
      </c>
      <c r="L207">
        <v>5</v>
      </c>
      <c r="M207">
        <v>0</v>
      </c>
      <c r="N207">
        <v>0</v>
      </c>
      <c r="O207">
        <v>0</v>
      </c>
      <c r="P207">
        <v>-1</v>
      </c>
      <c r="Q207">
        <v>0</v>
      </c>
      <c r="R207">
        <v>-1</v>
      </c>
      <c r="S207">
        <v>7.9772079772079771E-2</v>
      </c>
      <c r="T207">
        <v>0</v>
      </c>
      <c r="U207">
        <v>7.9772079772079771E-2</v>
      </c>
    </row>
    <row r="208" spans="1:21" x14ac:dyDescent="0.35">
      <c r="A208" s="24" t="s">
        <v>509</v>
      </c>
      <c r="B208" s="1" t="s">
        <v>51</v>
      </c>
      <c r="C208">
        <v>197</v>
      </c>
      <c r="D208">
        <v>0</v>
      </c>
      <c r="E208">
        <v>197</v>
      </c>
      <c r="F208">
        <v>87</v>
      </c>
      <c r="G208">
        <v>7</v>
      </c>
      <c r="H208">
        <v>0</v>
      </c>
      <c r="I208">
        <v>7</v>
      </c>
      <c r="J208">
        <v>3</v>
      </c>
      <c r="K208">
        <v>0</v>
      </c>
      <c r="L208">
        <v>3</v>
      </c>
      <c r="M208">
        <v>0</v>
      </c>
      <c r="N208">
        <v>0</v>
      </c>
      <c r="O208">
        <v>0</v>
      </c>
      <c r="P208">
        <v>0</v>
      </c>
      <c r="Q208">
        <v>0</v>
      </c>
      <c r="R208">
        <v>0</v>
      </c>
      <c r="S208">
        <v>5.0761421319796954E-2</v>
      </c>
      <c r="T208">
        <v>0</v>
      </c>
      <c r="U208">
        <v>5.0761421319796954E-2</v>
      </c>
    </row>
    <row r="209" spans="1:21" x14ac:dyDescent="0.35">
      <c r="A209" s="24" t="s">
        <v>510</v>
      </c>
      <c r="B209" s="1" t="s">
        <v>18</v>
      </c>
      <c r="C209">
        <v>121</v>
      </c>
      <c r="D209">
        <v>0</v>
      </c>
      <c r="E209">
        <v>121</v>
      </c>
      <c r="F209">
        <v>43</v>
      </c>
      <c r="G209">
        <v>13</v>
      </c>
      <c r="H209">
        <v>0</v>
      </c>
      <c r="I209">
        <v>13</v>
      </c>
      <c r="J209">
        <v>0</v>
      </c>
      <c r="K209">
        <v>0</v>
      </c>
      <c r="L209">
        <v>0</v>
      </c>
      <c r="M209">
        <v>0</v>
      </c>
      <c r="N209">
        <v>0</v>
      </c>
      <c r="O209">
        <v>0</v>
      </c>
      <c r="P209">
        <v>0</v>
      </c>
      <c r="Q209">
        <v>0</v>
      </c>
      <c r="R209">
        <v>0</v>
      </c>
      <c r="S209">
        <v>0.10743801652892562</v>
      </c>
      <c r="T209">
        <v>0</v>
      </c>
      <c r="U209">
        <v>0.10743801652892562</v>
      </c>
    </row>
    <row r="210" spans="1:21" x14ac:dyDescent="0.35">
      <c r="A210" s="24" t="s">
        <v>511</v>
      </c>
      <c r="B210" s="1" t="s">
        <v>55</v>
      </c>
      <c r="C210">
        <v>70</v>
      </c>
      <c r="D210">
        <v>0</v>
      </c>
      <c r="E210">
        <v>70</v>
      </c>
      <c r="F210">
        <v>36</v>
      </c>
      <c r="G210">
        <v>14</v>
      </c>
      <c r="H210">
        <v>0</v>
      </c>
      <c r="I210">
        <v>14</v>
      </c>
      <c r="J210">
        <v>0</v>
      </c>
      <c r="K210">
        <v>0</v>
      </c>
      <c r="L210">
        <v>0</v>
      </c>
      <c r="M210">
        <v>0</v>
      </c>
      <c r="N210">
        <v>0</v>
      </c>
      <c r="O210">
        <v>0</v>
      </c>
      <c r="P210">
        <v>0</v>
      </c>
      <c r="Q210">
        <v>0</v>
      </c>
      <c r="R210">
        <v>0</v>
      </c>
      <c r="S210">
        <v>0.2</v>
      </c>
      <c r="T210">
        <v>0</v>
      </c>
      <c r="U210">
        <v>0.2</v>
      </c>
    </row>
    <row r="211" spans="1:21" x14ac:dyDescent="0.35">
      <c r="A211" s="24" t="s">
        <v>512</v>
      </c>
      <c r="B211" s="1" t="s">
        <v>21</v>
      </c>
      <c r="C211">
        <v>329</v>
      </c>
      <c r="D211">
        <v>0</v>
      </c>
      <c r="E211">
        <v>329</v>
      </c>
      <c r="F211">
        <v>91</v>
      </c>
      <c r="G211">
        <v>104</v>
      </c>
      <c r="H211">
        <v>0</v>
      </c>
      <c r="I211">
        <v>104</v>
      </c>
      <c r="J211">
        <v>3</v>
      </c>
      <c r="K211">
        <v>0</v>
      </c>
      <c r="L211">
        <v>3</v>
      </c>
      <c r="M211">
        <v>0</v>
      </c>
      <c r="N211">
        <v>0</v>
      </c>
      <c r="O211">
        <v>0</v>
      </c>
      <c r="P211">
        <v>0</v>
      </c>
      <c r="Q211">
        <v>0</v>
      </c>
      <c r="R211">
        <v>0</v>
      </c>
      <c r="S211">
        <v>0.32522796352583588</v>
      </c>
      <c r="T211">
        <v>0</v>
      </c>
      <c r="U211">
        <v>0.32522796352583588</v>
      </c>
    </row>
    <row r="212" spans="1:21" x14ac:dyDescent="0.35">
      <c r="A212" s="24" t="s">
        <v>513</v>
      </c>
      <c r="B212" s="1" t="s">
        <v>58</v>
      </c>
      <c r="C212">
        <v>160</v>
      </c>
      <c r="D212">
        <v>0</v>
      </c>
      <c r="E212">
        <v>160</v>
      </c>
      <c r="F212">
        <v>78</v>
      </c>
      <c r="G212">
        <v>26</v>
      </c>
      <c r="H212">
        <v>0</v>
      </c>
      <c r="I212">
        <v>26</v>
      </c>
      <c r="J212">
        <v>2</v>
      </c>
      <c r="K212">
        <v>0</v>
      </c>
      <c r="L212">
        <v>2</v>
      </c>
      <c r="M212">
        <v>0</v>
      </c>
      <c r="N212">
        <v>0</v>
      </c>
      <c r="O212">
        <v>0</v>
      </c>
      <c r="P212">
        <v>0</v>
      </c>
      <c r="Q212">
        <v>0</v>
      </c>
      <c r="R212">
        <v>0</v>
      </c>
      <c r="S212">
        <v>0.17499999999999999</v>
      </c>
      <c r="T212">
        <v>0</v>
      </c>
      <c r="U212">
        <v>0.17499999999999999</v>
      </c>
    </row>
    <row r="213" spans="1:21" x14ac:dyDescent="0.35">
      <c r="A213" s="24" t="s">
        <v>514</v>
      </c>
      <c r="B213" s="1" t="s">
        <v>66</v>
      </c>
      <c r="C213">
        <v>249</v>
      </c>
      <c r="D213">
        <v>0</v>
      </c>
      <c r="E213">
        <v>249</v>
      </c>
      <c r="F213">
        <v>79</v>
      </c>
      <c r="G213">
        <v>6</v>
      </c>
      <c r="H213">
        <v>0</v>
      </c>
      <c r="I213">
        <v>6</v>
      </c>
      <c r="J213">
        <v>2</v>
      </c>
      <c r="K213">
        <v>0</v>
      </c>
      <c r="L213">
        <v>2</v>
      </c>
      <c r="M213">
        <v>0</v>
      </c>
      <c r="N213">
        <v>0</v>
      </c>
      <c r="O213">
        <v>0</v>
      </c>
      <c r="P213">
        <v>0</v>
      </c>
      <c r="Q213">
        <v>0</v>
      </c>
      <c r="R213">
        <v>0</v>
      </c>
      <c r="S213">
        <v>3.2128514056224897E-2</v>
      </c>
      <c r="T213">
        <v>0</v>
      </c>
      <c r="U213">
        <v>3.2128514056224897E-2</v>
      </c>
    </row>
    <row r="214" spans="1:21" x14ac:dyDescent="0.35">
      <c r="A214" s="24" t="s">
        <v>443</v>
      </c>
      <c r="B214" s="1" t="s">
        <v>20</v>
      </c>
      <c r="C214">
        <v>678</v>
      </c>
      <c r="D214">
        <v>0</v>
      </c>
      <c r="E214">
        <v>678</v>
      </c>
      <c r="F214">
        <v>317</v>
      </c>
      <c r="G214">
        <v>50</v>
      </c>
      <c r="H214">
        <v>0</v>
      </c>
      <c r="I214">
        <v>50</v>
      </c>
      <c r="J214">
        <v>18</v>
      </c>
      <c r="K214">
        <v>0</v>
      </c>
      <c r="L214">
        <v>18</v>
      </c>
      <c r="M214">
        <v>3</v>
      </c>
      <c r="N214">
        <v>0</v>
      </c>
      <c r="O214">
        <v>3</v>
      </c>
      <c r="P214">
        <v>2</v>
      </c>
      <c r="Q214">
        <v>0</v>
      </c>
      <c r="R214">
        <v>2</v>
      </c>
      <c r="S214">
        <v>0.10766961651917405</v>
      </c>
      <c r="T214">
        <v>0</v>
      </c>
      <c r="U214">
        <v>0.10766961651917405</v>
      </c>
    </row>
    <row r="215" spans="1:21" x14ac:dyDescent="0.35">
      <c r="A215" s="24" t="s">
        <v>515</v>
      </c>
      <c r="B215" s="1" t="s">
        <v>51</v>
      </c>
      <c r="C215">
        <v>442</v>
      </c>
      <c r="D215">
        <v>0</v>
      </c>
      <c r="E215">
        <v>442</v>
      </c>
      <c r="F215">
        <v>283</v>
      </c>
      <c r="G215">
        <v>13</v>
      </c>
      <c r="H215">
        <v>0</v>
      </c>
      <c r="I215">
        <v>13</v>
      </c>
      <c r="J215">
        <v>12</v>
      </c>
      <c r="K215">
        <v>0</v>
      </c>
      <c r="L215">
        <v>12</v>
      </c>
      <c r="M215">
        <v>3</v>
      </c>
      <c r="N215">
        <v>0</v>
      </c>
      <c r="O215">
        <v>3</v>
      </c>
      <c r="P215">
        <v>0</v>
      </c>
      <c r="Q215">
        <v>0</v>
      </c>
      <c r="R215">
        <v>0</v>
      </c>
      <c r="S215">
        <v>6.3348416289592757E-2</v>
      </c>
      <c r="T215">
        <v>0</v>
      </c>
      <c r="U215">
        <v>6.3348416289592757E-2</v>
      </c>
    </row>
    <row r="216" spans="1:21" x14ac:dyDescent="0.35">
      <c r="A216" s="24">
        <v>45665</v>
      </c>
      <c r="B216" s="1" t="s">
        <v>18</v>
      </c>
      <c r="C216">
        <v>2250</v>
      </c>
      <c r="D216">
        <v>0</v>
      </c>
      <c r="E216">
        <v>2250</v>
      </c>
      <c r="F216">
        <v>1359</v>
      </c>
      <c r="G216">
        <v>101</v>
      </c>
      <c r="H216">
        <v>0</v>
      </c>
      <c r="I216">
        <v>101</v>
      </c>
      <c r="J216">
        <v>37</v>
      </c>
      <c r="K216">
        <v>0</v>
      </c>
      <c r="L216">
        <v>37</v>
      </c>
      <c r="M216">
        <v>3</v>
      </c>
      <c r="N216">
        <v>0</v>
      </c>
      <c r="O216">
        <v>3</v>
      </c>
      <c r="P216">
        <v>1</v>
      </c>
      <c r="Q216">
        <v>0</v>
      </c>
      <c r="R216">
        <v>1</v>
      </c>
      <c r="S216">
        <v>6.3111111111111118E-2</v>
      </c>
      <c r="T216">
        <v>0</v>
      </c>
      <c r="U216">
        <v>6.3111111111111118E-2</v>
      </c>
    </row>
    <row r="217" spans="1:21" x14ac:dyDescent="0.35">
      <c r="A217" s="24">
        <v>45696</v>
      </c>
      <c r="B217" s="1" t="s">
        <v>55</v>
      </c>
      <c r="C217">
        <v>622</v>
      </c>
      <c r="D217">
        <v>0</v>
      </c>
      <c r="E217">
        <v>622</v>
      </c>
      <c r="F217">
        <v>388</v>
      </c>
      <c r="G217">
        <v>44</v>
      </c>
      <c r="H217">
        <v>0</v>
      </c>
      <c r="I217">
        <v>44</v>
      </c>
      <c r="J217">
        <v>9</v>
      </c>
      <c r="K217">
        <v>0</v>
      </c>
      <c r="L217">
        <v>9</v>
      </c>
      <c r="M217">
        <v>0</v>
      </c>
      <c r="N217">
        <v>0</v>
      </c>
      <c r="O217">
        <v>0</v>
      </c>
      <c r="P217">
        <v>0</v>
      </c>
      <c r="Q217">
        <v>0</v>
      </c>
      <c r="R217">
        <v>0</v>
      </c>
      <c r="S217">
        <v>8.5209003215434079E-2</v>
      </c>
      <c r="T217">
        <v>0</v>
      </c>
      <c r="U217">
        <v>8.5209003215434079E-2</v>
      </c>
    </row>
    <row r="218" spans="1:21" x14ac:dyDescent="0.35">
      <c r="A218" s="24">
        <v>45724</v>
      </c>
      <c r="B218" s="1" t="s">
        <v>21</v>
      </c>
      <c r="C218">
        <v>344</v>
      </c>
      <c r="D218">
        <v>0</v>
      </c>
      <c r="E218">
        <v>344</v>
      </c>
      <c r="F218">
        <v>195</v>
      </c>
      <c r="G218">
        <v>21</v>
      </c>
      <c r="H218">
        <v>0</v>
      </c>
      <c r="I218">
        <v>21</v>
      </c>
      <c r="J218">
        <v>1</v>
      </c>
      <c r="K218">
        <v>0</v>
      </c>
      <c r="L218">
        <v>1</v>
      </c>
      <c r="M218">
        <v>0</v>
      </c>
      <c r="N218">
        <v>0</v>
      </c>
      <c r="O218">
        <v>0</v>
      </c>
      <c r="P218">
        <v>0</v>
      </c>
      <c r="Q218">
        <v>0</v>
      </c>
      <c r="R218">
        <v>0</v>
      </c>
      <c r="S218">
        <v>6.3953488372093026E-2</v>
      </c>
      <c r="T218">
        <v>0</v>
      </c>
      <c r="U218">
        <v>6.3953488372093026E-2</v>
      </c>
    </row>
    <row r="219" spans="1:21" x14ac:dyDescent="0.35">
      <c r="A219" s="24">
        <v>45755</v>
      </c>
      <c r="B219" s="1" t="s">
        <v>58</v>
      </c>
      <c r="C219">
        <v>1368</v>
      </c>
      <c r="D219">
        <v>0</v>
      </c>
      <c r="E219">
        <v>1368</v>
      </c>
      <c r="F219">
        <v>728</v>
      </c>
      <c r="G219">
        <v>99</v>
      </c>
      <c r="H219">
        <v>0</v>
      </c>
      <c r="I219">
        <v>99</v>
      </c>
      <c r="J219">
        <v>27</v>
      </c>
      <c r="K219">
        <v>0</v>
      </c>
      <c r="L219">
        <v>27</v>
      </c>
      <c r="M219">
        <v>4</v>
      </c>
      <c r="N219">
        <v>0</v>
      </c>
      <c r="O219">
        <v>4</v>
      </c>
      <c r="P219">
        <v>0</v>
      </c>
      <c r="Q219">
        <v>0</v>
      </c>
      <c r="R219">
        <v>0</v>
      </c>
      <c r="S219">
        <v>9.5029239766081866E-2</v>
      </c>
      <c r="T219">
        <v>0</v>
      </c>
      <c r="U219">
        <v>9.5029239766081866E-2</v>
      </c>
    </row>
    <row r="220" spans="1:21" x14ac:dyDescent="0.35">
      <c r="A220" s="24">
        <v>45785</v>
      </c>
      <c r="B220" s="1" t="s">
        <v>66</v>
      </c>
      <c r="C220">
        <v>850</v>
      </c>
      <c r="D220">
        <v>0</v>
      </c>
      <c r="E220">
        <v>850</v>
      </c>
      <c r="F220">
        <v>468</v>
      </c>
      <c r="G220">
        <v>27</v>
      </c>
      <c r="H220">
        <v>0</v>
      </c>
      <c r="I220">
        <v>27</v>
      </c>
      <c r="J220">
        <v>7</v>
      </c>
      <c r="K220">
        <v>0</v>
      </c>
      <c r="L220">
        <v>7</v>
      </c>
      <c r="M220">
        <v>8</v>
      </c>
      <c r="N220">
        <v>0</v>
      </c>
      <c r="O220">
        <v>8</v>
      </c>
      <c r="P220">
        <v>0</v>
      </c>
      <c r="Q220">
        <v>0</v>
      </c>
      <c r="R220">
        <v>0</v>
      </c>
      <c r="S220">
        <v>4.9411764705882349E-2</v>
      </c>
      <c r="T220">
        <v>0</v>
      </c>
      <c r="U220">
        <v>4.9411764705882349E-2</v>
      </c>
    </row>
    <row r="221" spans="1:21" x14ac:dyDescent="0.35">
      <c r="A221" s="24">
        <v>45816</v>
      </c>
      <c r="B221" s="1" t="s">
        <v>20</v>
      </c>
      <c r="C221">
        <v>382</v>
      </c>
      <c r="D221">
        <v>0</v>
      </c>
      <c r="E221">
        <v>382</v>
      </c>
      <c r="F221">
        <v>145</v>
      </c>
      <c r="G221">
        <v>40</v>
      </c>
      <c r="H221">
        <v>0</v>
      </c>
      <c r="I221">
        <v>40</v>
      </c>
      <c r="J221">
        <v>11</v>
      </c>
      <c r="K221">
        <v>0</v>
      </c>
      <c r="L221">
        <v>11</v>
      </c>
      <c r="M221">
        <v>2</v>
      </c>
      <c r="N221">
        <v>0</v>
      </c>
      <c r="O221">
        <v>2</v>
      </c>
      <c r="P221">
        <v>0</v>
      </c>
      <c r="Q221">
        <v>0</v>
      </c>
      <c r="R221">
        <v>0</v>
      </c>
      <c r="S221">
        <v>0.13874345549738221</v>
      </c>
      <c r="T221">
        <v>0</v>
      </c>
      <c r="U221">
        <v>0.13874345549738221</v>
      </c>
    </row>
    <row r="222" spans="1:21" x14ac:dyDescent="0.35">
      <c r="A222" s="24">
        <v>45846</v>
      </c>
      <c r="B222" s="1" t="s">
        <v>51</v>
      </c>
      <c r="C222">
        <v>344</v>
      </c>
      <c r="D222">
        <v>0</v>
      </c>
      <c r="E222">
        <v>344</v>
      </c>
      <c r="F222">
        <v>185</v>
      </c>
      <c r="G222">
        <v>22</v>
      </c>
      <c r="H222">
        <v>0</v>
      </c>
      <c r="I222">
        <v>22</v>
      </c>
      <c r="J222">
        <v>5</v>
      </c>
      <c r="K222">
        <v>0</v>
      </c>
      <c r="L222">
        <v>5</v>
      </c>
      <c r="M222">
        <v>0</v>
      </c>
      <c r="N222">
        <v>0</v>
      </c>
      <c r="O222">
        <v>0</v>
      </c>
      <c r="P222">
        <v>0</v>
      </c>
      <c r="Q222">
        <v>0</v>
      </c>
      <c r="R222">
        <v>0</v>
      </c>
      <c r="S222">
        <v>7.8488372093023256E-2</v>
      </c>
      <c r="T222">
        <v>0</v>
      </c>
      <c r="U222">
        <v>7.8488372093023256E-2</v>
      </c>
    </row>
    <row r="223" spans="1:21" x14ac:dyDescent="0.35">
      <c r="A223" s="24">
        <v>45877</v>
      </c>
      <c r="B223" s="1" t="s">
        <v>18</v>
      </c>
      <c r="C223">
        <v>2418</v>
      </c>
      <c r="D223">
        <v>0</v>
      </c>
      <c r="E223">
        <v>2418</v>
      </c>
      <c r="F223">
        <v>1140</v>
      </c>
      <c r="G223">
        <v>284</v>
      </c>
      <c r="H223">
        <v>0</v>
      </c>
      <c r="I223">
        <v>284</v>
      </c>
      <c r="J223">
        <v>45</v>
      </c>
      <c r="K223">
        <v>0</v>
      </c>
      <c r="L223">
        <v>45</v>
      </c>
      <c r="M223">
        <v>10</v>
      </c>
      <c r="N223">
        <v>0</v>
      </c>
      <c r="O223">
        <v>10</v>
      </c>
      <c r="P223">
        <v>0</v>
      </c>
      <c r="Q223">
        <v>0</v>
      </c>
      <c r="R223">
        <v>0</v>
      </c>
      <c r="S223">
        <v>0.14019851116625309</v>
      </c>
      <c r="T223">
        <v>0</v>
      </c>
      <c r="U223">
        <v>0.14019851116625309</v>
      </c>
    </row>
    <row r="224" spans="1:21" x14ac:dyDescent="0.35">
      <c r="A224" s="24">
        <v>45908</v>
      </c>
      <c r="B224" s="1" t="s">
        <v>55</v>
      </c>
      <c r="C224">
        <v>1439</v>
      </c>
      <c r="D224">
        <v>0</v>
      </c>
      <c r="E224">
        <v>1439</v>
      </c>
      <c r="F224">
        <v>819</v>
      </c>
      <c r="G224">
        <v>124</v>
      </c>
      <c r="H224">
        <v>0</v>
      </c>
      <c r="I224">
        <v>124</v>
      </c>
      <c r="J224">
        <v>24</v>
      </c>
      <c r="K224">
        <v>0</v>
      </c>
      <c r="L224">
        <v>24</v>
      </c>
      <c r="M224">
        <v>3</v>
      </c>
      <c r="N224">
        <v>0</v>
      </c>
      <c r="O224">
        <v>3</v>
      </c>
      <c r="P224">
        <v>0</v>
      </c>
      <c r="Q224">
        <v>0</v>
      </c>
      <c r="R224">
        <v>0</v>
      </c>
      <c r="S224">
        <v>0.10493398193189715</v>
      </c>
      <c r="T224">
        <v>0</v>
      </c>
      <c r="U224">
        <v>0.10493398193189715</v>
      </c>
    </row>
    <row r="225" spans="1:21" x14ac:dyDescent="0.35">
      <c r="A225" s="24">
        <v>45938</v>
      </c>
      <c r="B225" s="1" t="s">
        <v>21</v>
      </c>
      <c r="C225">
        <v>772</v>
      </c>
      <c r="D225">
        <v>0</v>
      </c>
      <c r="E225">
        <v>772</v>
      </c>
      <c r="F225">
        <v>355</v>
      </c>
      <c r="G225">
        <v>50</v>
      </c>
      <c r="H225">
        <v>0</v>
      </c>
      <c r="I225">
        <v>50</v>
      </c>
      <c r="J225">
        <v>7</v>
      </c>
      <c r="K225">
        <v>0</v>
      </c>
      <c r="L225">
        <v>7</v>
      </c>
      <c r="M225">
        <v>1</v>
      </c>
      <c r="N225">
        <v>0</v>
      </c>
      <c r="O225">
        <v>1</v>
      </c>
      <c r="P225">
        <v>0</v>
      </c>
      <c r="Q225">
        <v>0</v>
      </c>
      <c r="R225">
        <v>0</v>
      </c>
      <c r="S225">
        <v>7.512953367875648E-2</v>
      </c>
      <c r="T225">
        <v>0</v>
      </c>
      <c r="U225">
        <v>7.512953367875648E-2</v>
      </c>
    </row>
    <row r="226" spans="1:21" x14ac:dyDescent="0.35">
      <c r="A226" s="24">
        <v>45969</v>
      </c>
      <c r="B226" s="1" t="s">
        <v>58</v>
      </c>
      <c r="C226">
        <v>1794</v>
      </c>
      <c r="D226">
        <v>0</v>
      </c>
      <c r="E226">
        <v>1794</v>
      </c>
      <c r="F226">
        <v>928</v>
      </c>
      <c r="G226">
        <v>117</v>
      </c>
      <c r="H226">
        <v>0</v>
      </c>
      <c r="I226">
        <v>117</v>
      </c>
      <c r="J226">
        <v>28</v>
      </c>
      <c r="K226">
        <v>0</v>
      </c>
      <c r="L226">
        <v>28</v>
      </c>
      <c r="M226">
        <v>8</v>
      </c>
      <c r="N226">
        <v>0</v>
      </c>
      <c r="O226">
        <v>8</v>
      </c>
      <c r="P226">
        <v>1</v>
      </c>
      <c r="Q226">
        <v>0</v>
      </c>
      <c r="R226">
        <v>1</v>
      </c>
      <c r="S226">
        <v>8.5841694537346705E-2</v>
      </c>
      <c r="T226">
        <v>0</v>
      </c>
      <c r="U226">
        <v>8.5841694537346705E-2</v>
      </c>
    </row>
    <row r="227" spans="1:21" x14ac:dyDescent="0.35">
      <c r="A227" s="24">
        <v>45999</v>
      </c>
      <c r="B227" s="1" t="s">
        <v>66</v>
      </c>
      <c r="C227">
        <v>1136</v>
      </c>
      <c r="D227">
        <v>0</v>
      </c>
      <c r="E227">
        <v>1136</v>
      </c>
      <c r="F227">
        <v>623</v>
      </c>
      <c r="G227">
        <v>32</v>
      </c>
      <c r="H227">
        <v>0</v>
      </c>
      <c r="I227">
        <v>32</v>
      </c>
      <c r="J227">
        <v>7</v>
      </c>
      <c r="K227">
        <v>0</v>
      </c>
      <c r="L227">
        <v>7</v>
      </c>
      <c r="M227">
        <v>5</v>
      </c>
      <c r="N227">
        <v>0</v>
      </c>
      <c r="O227">
        <v>5</v>
      </c>
      <c r="P227">
        <v>0</v>
      </c>
      <c r="Q227">
        <v>0</v>
      </c>
      <c r="R227">
        <v>0</v>
      </c>
      <c r="S227">
        <v>3.873239436619718E-2</v>
      </c>
      <c r="T227">
        <v>0</v>
      </c>
      <c r="U227">
        <v>3.873239436619718E-2</v>
      </c>
    </row>
    <row r="228" spans="1:21" x14ac:dyDescent="0.35">
      <c r="A228" s="24" t="s">
        <v>516</v>
      </c>
      <c r="B228" s="1" t="s">
        <v>20</v>
      </c>
      <c r="C228">
        <v>510</v>
      </c>
      <c r="D228">
        <v>0</v>
      </c>
      <c r="E228">
        <v>510</v>
      </c>
      <c r="F228">
        <v>277</v>
      </c>
      <c r="G228">
        <v>23</v>
      </c>
      <c r="H228">
        <v>0</v>
      </c>
      <c r="I228">
        <v>23</v>
      </c>
      <c r="J228">
        <v>2</v>
      </c>
      <c r="K228">
        <v>0</v>
      </c>
      <c r="L228">
        <v>2</v>
      </c>
      <c r="M228">
        <v>0</v>
      </c>
      <c r="N228">
        <v>0</v>
      </c>
      <c r="O228">
        <v>0</v>
      </c>
      <c r="P228">
        <v>0</v>
      </c>
      <c r="Q228">
        <v>0</v>
      </c>
      <c r="R228">
        <v>0</v>
      </c>
      <c r="S228">
        <v>4.9019607843137254E-2</v>
      </c>
      <c r="T228">
        <v>0</v>
      </c>
      <c r="U228">
        <v>4.9019607843137254E-2</v>
      </c>
    </row>
    <row r="229" spans="1:21" x14ac:dyDescent="0.35">
      <c r="A229" s="24" t="s">
        <v>444</v>
      </c>
      <c r="B229" s="1" t="s">
        <v>51</v>
      </c>
      <c r="C229">
        <v>1339</v>
      </c>
      <c r="D229">
        <v>0</v>
      </c>
      <c r="E229">
        <v>1339</v>
      </c>
      <c r="F229">
        <v>776</v>
      </c>
      <c r="G229">
        <v>52</v>
      </c>
      <c r="H229">
        <v>0</v>
      </c>
      <c r="I229">
        <v>52</v>
      </c>
      <c r="J229">
        <v>29</v>
      </c>
      <c r="K229">
        <v>0</v>
      </c>
      <c r="L229">
        <v>29</v>
      </c>
      <c r="M229">
        <v>5</v>
      </c>
      <c r="N229">
        <v>0</v>
      </c>
      <c r="O229">
        <v>5</v>
      </c>
      <c r="P229">
        <v>1</v>
      </c>
      <c r="Q229">
        <v>0</v>
      </c>
      <c r="R229">
        <v>1</v>
      </c>
      <c r="S229">
        <v>6.4973861090365945E-2</v>
      </c>
      <c r="T229">
        <v>0</v>
      </c>
      <c r="U229">
        <v>6.4973861090365945E-2</v>
      </c>
    </row>
    <row r="230" spans="1:21" x14ac:dyDescent="0.35">
      <c r="A230" s="24" t="s">
        <v>445</v>
      </c>
      <c r="B230" s="1" t="s">
        <v>18</v>
      </c>
      <c r="C230">
        <v>2227</v>
      </c>
      <c r="D230">
        <v>0</v>
      </c>
      <c r="E230">
        <v>2227</v>
      </c>
      <c r="F230">
        <v>1105</v>
      </c>
      <c r="G230">
        <v>490</v>
      </c>
      <c r="H230">
        <v>0</v>
      </c>
      <c r="I230">
        <v>490</v>
      </c>
      <c r="J230">
        <v>51</v>
      </c>
      <c r="K230">
        <v>0</v>
      </c>
      <c r="L230">
        <v>51</v>
      </c>
      <c r="M230">
        <v>17</v>
      </c>
      <c r="N230">
        <v>0</v>
      </c>
      <c r="O230">
        <v>17</v>
      </c>
      <c r="P230">
        <v>0</v>
      </c>
      <c r="Q230">
        <v>0</v>
      </c>
      <c r="R230">
        <v>0</v>
      </c>
      <c r="S230">
        <v>0.25056129321957793</v>
      </c>
      <c r="T230">
        <v>0</v>
      </c>
      <c r="U230">
        <v>0.25056129321957793</v>
      </c>
    </row>
    <row r="231" spans="1:21" x14ac:dyDescent="0.35">
      <c r="A231" s="24" t="s">
        <v>517</v>
      </c>
      <c r="B231" s="1" t="s">
        <v>55</v>
      </c>
      <c r="C231">
        <v>1157</v>
      </c>
      <c r="D231">
        <v>0</v>
      </c>
      <c r="E231">
        <v>1157</v>
      </c>
      <c r="F231">
        <v>502</v>
      </c>
      <c r="G231">
        <v>277</v>
      </c>
      <c r="H231">
        <v>0</v>
      </c>
      <c r="I231">
        <v>277</v>
      </c>
      <c r="J231">
        <v>14</v>
      </c>
      <c r="K231">
        <v>0</v>
      </c>
      <c r="L231">
        <v>14</v>
      </c>
      <c r="M231">
        <v>4</v>
      </c>
      <c r="N231">
        <v>0</v>
      </c>
      <c r="O231">
        <v>4</v>
      </c>
      <c r="P231">
        <v>0</v>
      </c>
      <c r="Q231">
        <v>0</v>
      </c>
      <c r="R231">
        <v>0</v>
      </c>
      <c r="S231">
        <v>0.2549697493517718</v>
      </c>
      <c r="T231">
        <v>0</v>
      </c>
      <c r="U231">
        <v>0.2549697493517718</v>
      </c>
    </row>
    <row r="232" spans="1:21" x14ac:dyDescent="0.35">
      <c r="A232" s="24" t="s">
        <v>518</v>
      </c>
      <c r="B232" s="1" t="s">
        <v>21</v>
      </c>
      <c r="C232">
        <v>659</v>
      </c>
      <c r="D232">
        <v>0</v>
      </c>
      <c r="E232">
        <v>659</v>
      </c>
      <c r="F232">
        <v>283</v>
      </c>
      <c r="G232">
        <v>77</v>
      </c>
      <c r="H232">
        <v>0</v>
      </c>
      <c r="I232">
        <v>77</v>
      </c>
      <c r="J232">
        <v>8</v>
      </c>
      <c r="K232">
        <v>0</v>
      </c>
      <c r="L232">
        <v>8</v>
      </c>
      <c r="M232">
        <v>0</v>
      </c>
      <c r="N232">
        <v>0</v>
      </c>
      <c r="O232">
        <v>0</v>
      </c>
      <c r="P232">
        <v>0</v>
      </c>
      <c r="Q232">
        <v>0</v>
      </c>
      <c r="R232">
        <v>0</v>
      </c>
      <c r="S232">
        <v>0.12898330804248861</v>
      </c>
      <c r="T232">
        <v>0</v>
      </c>
      <c r="U232">
        <v>0.12898330804248861</v>
      </c>
    </row>
    <row r="233" spans="1:21" x14ac:dyDescent="0.35">
      <c r="A233" s="24" t="s">
        <v>519</v>
      </c>
      <c r="B233" s="1" t="s">
        <v>58</v>
      </c>
      <c r="C233">
        <v>430</v>
      </c>
      <c r="D233">
        <v>0</v>
      </c>
      <c r="E233">
        <v>430</v>
      </c>
      <c r="F233">
        <v>162</v>
      </c>
      <c r="G233">
        <v>66</v>
      </c>
      <c r="H233">
        <v>0</v>
      </c>
      <c r="I233">
        <v>66</v>
      </c>
      <c r="J233">
        <v>12</v>
      </c>
      <c r="K233">
        <v>0</v>
      </c>
      <c r="L233">
        <v>12</v>
      </c>
      <c r="M233">
        <v>2</v>
      </c>
      <c r="N233">
        <v>0</v>
      </c>
      <c r="O233">
        <v>2</v>
      </c>
      <c r="P233">
        <v>0</v>
      </c>
      <c r="Q233">
        <v>0</v>
      </c>
      <c r="R233">
        <v>0</v>
      </c>
      <c r="S233">
        <v>0.18604651162790697</v>
      </c>
      <c r="T233">
        <v>0</v>
      </c>
      <c r="U233">
        <v>0.18604651162790697</v>
      </c>
    </row>
    <row r="234" spans="1:21" x14ac:dyDescent="0.35">
      <c r="A234" s="24" t="s">
        <v>520</v>
      </c>
      <c r="B234" s="1" t="s">
        <v>66</v>
      </c>
      <c r="C234">
        <v>526</v>
      </c>
      <c r="D234">
        <v>0</v>
      </c>
      <c r="E234">
        <v>526</v>
      </c>
      <c r="F234">
        <v>133</v>
      </c>
      <c r="G234">
        <v>57</v>
      </c>
      <c r="H234">
        <v>0</v>
      </c>
      <c r="I234">
        <v>57</v>
      </c>
      <c r="J234">
        <v>5</v>
      </c>
      <c r="K234">
        <v>0</v>
      </c>
      <c r="L234">
        <v>5</v>
      </c>
      <c r="M234">
        <v>0</v>
      </c>
      <c r="N234">
        <v>0</v>
      </c>
      <c r="O234">
        <v>0</v>
      </c>
      <c r="P234">
        <v>0</v>
      </c>
      <c r="Q234">
        <v>0</v>
      </c>
      <c r="R234">
        <v>0</v>
      </c>
      <c r="S234">
        <v>0.11787072243346007</v>
      </c>
      <c r="T234">
        <v>0</v>
      </c>
      <c r="U234">
        <v>0.11787072243346007</v>
      </c>
    </row>
    <row r="235" spans="1:21" x14ac:dyDescent="0.35">
      <c r="A235" s="24" t="s">
        <v>521</v>
      </c>
      <c r="B235" s="1" t="s">
        <v>20</v>
      </c>
      <c r="C235">
        <v>433</v>
      </c>
      <c r="D235">
        <v>0</v>
      </c>
      <c r="E235">
        <v>433</v>
      </c>
      <c r="F235">
        <v>102</v>
      </c>
      <c r="G235">
        <v>151</v>
      </c>
      <c r="H235">
        <v>0</v>
      </c>
      <c r="I235">
        <v>151</v>
      </c>
      <c r="J235">
        <v>5</v>
      </c>
      <c r="K235">
        <v>0</v>
      </c>
      <c r="L235">
        <v>5</v>
      </c>
      <c r="M235">
        <v>0</v>
      </c>
      <c r="N235">
        <v>0</v>
      </c>
      <c r="O235">
        <v>0</v>
      </c>
      <c r="P235">
        <v>0</v>
      </c>
      <c r="Q235">
        <v>0</v>
      </c>
      <c r="R235">
        <v>0</v>
      </c>
      <c r="S235">
        <v>0.36027713625866054</v>
      </c>
      <c r="T235">
        <v>0</v>
      </c>
      <c r="U235">
        <v>0.36027713625866054</v>
      </c>
    </row>
    <row r="236" spans="1:21" x14ac:dyDescent="0.35">
      <c r="A236" s="24" t="s">
        <v>446</v>
      </c>
      <c r="B236" s="1" t="s">
        <v>51</v>
      </c>
      <c r="C236">
        <v>4171</v>
      </c>
      <c r="D236">
        <v>0</v>
      </c>
      <c r="E236">
        <v>4171</v>
      </c>
      <c r="F236">
        <v>1829</v>
      </c>
      <c r="G236">
        <v>288</v>
      </c>
      <c r="H236">
        <v>0</v>
      </c>
      <c r="I236">
        <v>288</v>
      </c>
      <c r="J236">
        <v>45</v>
      </c>
      <c r="K236">
        <v>0</v>
      </c>
      <c r="L236">
        <v>45</v>
      </c>
      <c r="M236">
        <v>6</v>
      </c>
      <c r="N236">
        <v>0</v>
      </c>
      <c r="O236">
        <v>6</v>
      </c>
      <c r="P236">
        <v>0</v>
      </c>
      <c r="Q236">
        <v>0</v>
      </c>
      <c r="R236">
        <v>0</v>
      </c>
      <c r="S236">
        <v>8.127547350755214E-2</v>
      </c>
      <c r="T236">
        <v>0</v>
      </c>
      <c r="U236">
        <v>8.127547350755214E-2</v>
      </c>
    </row>
    <row r="237" spans="1:21" x14ac:dyDescent="0.35">
      <c r="A237" s="24" t="s">
        <v>447</v>
      </c>
      <c r="B237" s="1" t="s">
        <v>18</v>
      </c>
      <c r="C237">
        <v>4003</v>
      </c>
      <c r="D237">
        <v>0</v>
      </c>
      <c r="E237">
        <v>4003</v>
      </c>
      <c r="F237">
        <v>2007</v>
      </c>
      <c r="G237">
        <v>282</v>
      </c>
      <c r="H237">
        <v>0</v>
      </c>
      <c r="I237">
        <v>282</v>
      </c>
      <c r="J237">
        <v>47</v>
      </c>
      <c r="K237">
        <v>0</v>
      </c>
      <c r="L237">
        <v>47</v>
      </c>
      <c r="M237">
        <v>5</v>
      </c>
      <c r="N237">
        <v>0</v>
      </c>
      <c r="O237">
        <v>5</v>
      </c>
      <c r="P237">
        <v>0</v>
      </c>
      <c r="Q237">
        <v>0</v>
      </c>
      <c r="R237">
        <v>0</v>
      </c>
      <c r="S237">
        <v>8.3437421933549832E-2</v>
      </c>
      <c r="T237">
        <v>0</v>
      </c>
      <c r="U237">
        <v>8.3437421933549832E-2</v>
      </c>
    </row>
    <row r="238" spans="1:21" x14ac:dyDescent="0.35">
      <c r="A238" s="24" t="s">
        <v>522</v>
      </c>
      <c r="B238" s="1" t="s">
        <v>55</v>
      </c>
      <c r="C238">
        <v>1202</v>
      </c>
      <c r="D238">
        <v>0</v>
      </c>
      <c r="E238">
        <v>1202</v>
      </c>
      <c r="F238">
        <v>607</v>
      </c>
      <c r="G238">
        <v>76</v>
      </c>
      <c r="H238">
        <v>0</v>
      </c>
      <c r="I238">
        <v>76</v>
      </c>
      <c r="J238">
        <v>7</v>
      </c>
      <c r="K238">
        <v>0</v>
      </c>
      <c r="L238">
        <v>7</v>
      </c>
      <c r="M238">
        <v>0</v>
      </c>
      <c r="N238">
        <v>0</v>
      </c>
      <c r="O238">
        <v>0</v>
      </c>
      <c r="P238">
        <v>0</v>
      </c>
      <c r="Q238">
        <v>0</v>
      </c>
      <c r="R238">
        <v>0</v>
      </c>
      <c r="S238">
        <v>6.9051580698835269E-2</v>
      </c>
      <c r="T238">
        <v>0</v>
      </c>
      <c r="U238">
        <v>6.9051580698835269E-2</v>
      </c>
    </row>
    <row r="239" spans="1:21" x14ac:dyDescent="0.35">
      <c r="A239" s="24" t="s">
        <v>523</v>
      </c>
      <c r="B239" s="1" t="s">
        <v>21</v>
      </c>
      <c r="C239">
        <v>726</v>
      </c>
      <c r="D239">
        <v>0</v>
      </c>
      <c r="E239">
        <v>726</v>
      </c>
      <c r="F239">
        <v>366</v>
      </c>
      <c r="G239">
        <v>54</v>
      </c>
      <c r="H239">
        <v>0</v>
      </c>
      <c r="I239">
        <v>54</v>
      </c>
      <c r="J239">
        <v>5</v>
      </c>
      <c r="K239">
        <v>0</v>
      </c>
      <c r="L239">
        <v>5</v>
      </c>
      <c r="M239">
        <v>0</v>
      </c>
      <c r="N239">
        <v>0</v>
      </c>
      <c r="O239">
        <v>0</v>
      </c>
      <c r="P239">
        <v>0</v>
      </c>
      <c r="Q239">
        <v>0</v>
      </c>
      <c r="R239">
        <v>0</v>
      </c>
      <c r="S239">
        <v>8.1267217630853997E-2</v>
      </c>
      <c r="T239">
        <v>0</v>
      </c>
      <c r="U239">
        <v>8.1267217630853997E-2</v>
      </c>
    </row>
    <row r="240" spans="1:21" x14ac:dyDescent="0.35">
      <c r="A240" s="24" t="s">
        <v>524</v>
      </c>
      <c r="B240" s="1" t="s">
        <v>58</v>
      </c>
      <c r="C240">
        <v>547</v>
      </c>
      <c r="D240">
        <v>0</v>
      </c>
      <c r="E240">
        <v>547</v>
      </c>
      <c r="F240">
        <v>271</v>
      </c>
      <c r="G240">
        <v>30</v>
      </c>
      <c r="H240">
        <v>0</v>
      </c>
      <c r="I240">
        <v>30</v>
      </c>
      <c r="J240">
        <v>5</v>
      </c>
      <c r="K240">
        <v>0</v>
      </c>
      <c r="L240">
        <v>5</v>
      </c>
      <c r="M240">
        <v>0</v>
      </c>
      <c r="N240">
        <v>0</v>
      </c>
      <c r="O240">
        <v>0</v>
      </c>
      <c r="P240">
        <v>0</v>
      </c>
      <c r="Q240">
        <v>0</v>
      </c>
      <c r="R240">
        <v>0</v>
      </c>
      <c r="S240">
        <v>6.3985374771480807E-2</v>
      </c>
      <c r="T240">
        <v>0</v>
      </c>
      <c r="U240">
        <v>6.3985374771480807E-2</v>
      </c>
    </row>
    <row r="241" spans="1:21" x14ac:dyDescent="0.35">
      <c r="A241" s="24" t="s">
        <v>525</v>
      </c>
      <c r="B241" s="1" t="s">
        <v>66</v>
      </c>
      <c r="C241">
        <v>2020</v>
      </c>
      <c r="D241">
        <v>0</v>
      </c>
      <c r="E241">
        <v>2020</v>
      </c>
      <c r="F241">
        <v>543</v>
      </c>
      <c r="G241">
        <v>101</v>
      </c>
      <c r="H241">
        <v>0</v>
      </c>
      <c r="I241">
        <v>101</v>
      </c>
      <c r="J241">
        <v>9</v>
      </c>
      <c r="K241">
        <v>0</v>
      </c>
      <c r="L241">
        <v>9</v>
      </c>
      <c r="M241">
        <v>2</v>
      </c>
      <c r="N241">
        <v>0</v>
      </c>
      <c r="O241">
        <v>2</v>
      </c>
      <c r="P241">
        <v>0</v>
      </c>
      <c r="Q241">
        <v>0</v>
      </c>
      <c r="R241">
        <v>0</v>
      </c>
      <c r="S241">
        <v>5.5445544554455446E-2</v>
      </c>
      <c r="T241">
        <v>0</v>
      </c>
      <c r="U241">
        <v>5.5445544554455446E-2</v>
      </c>
    </row>
    <row r="242" spans="1:21" x14ac:dyDescent="0.35">
      <c r="A242" s="24" t="s">
        <v>526</v>
      </c>
      <c r="B242" s="1" t="s">
        <v>20</v>
      </c>
      <c r="C242">
        <v>1152</v>
      </c>
      <c r="D242">
        <v>0</v>
      </c>
      <c r="E242">
        <v>1152</v>
      </c>
      <c r="F242">
        <v>355</v>
      </c>
      <c r="G242">
        <v>115</v>
      </c>
      <c r="H242">
        <v>0</v>
      </c>
      <c r="I242">
        <v>115</v>
      </c>
      <c r="J242">
        <v>11</v>
      </c>
      <c r="K242">
        <v>0</v>
      </c>
      <c r="L242">
        <v>11</v>
      </c>
      <c r="M242">
        <v>1</v>
      </c>
      <c r="N242">
        <v>0</v>
      </c>
      <c r="O242">
        <v>1</v>
      </c>
      <c r="P242">
        <v>0</v>
      </c>
      <c r="Q242">
        <v>0</v>
      </c>
      <c r="R242">
        <v>0</v>
      </c>
      <c r="S242">
        <v>0.11024305555555555</v>
      </c>
      <c r="T242">
        <v>0</v>
      </c>
      <c r="U242">
        <v>0.11024305555555555</v>
      </c>
    </row>
    <row r="243" spans="1:21" x14ac:dyDescent="0.35">
      <c r="A243" s="24" t="s">
        <v>527</v>
      </c>
      <c r="B243" s="1" t="s">
        <v>51</v>
      </c>
      <c r="C243">
        <v>697</v>
      </c>
      <c r="D243">
        <v>0</v>
      </c>
      <c r="E243">
        <v>697</v>
      </c>
      <c r="F243">
        <v>213</v>
      </c>
      <c r="G243">
        <v>65</v>
      </c>
      <c r="H243">
        <v>0</v>
      </c>
      <c r="I243">
        <v>65</v>
      </c>
      <c r="J243">
        <v>1</v>
      </c>
      <c r="K243">
        <v>0</v>
      </c>
      <c r="L243">
        <v>1</v>
      </c>
      <c r="M243">
        <v>0</v>
      </c>
      <c r="N243">
        <v>0</v>
      </c>
      <c r="O243">
        <v>0</v>
      </c>
      <c r="P243">
        <v>0</v>
      </c>
      <c r="Q243">
        <v>0</v>
      </c>
      <c r="R243">
        <v>0</v>
      </c>
      <c r="S243">
        <v>9.4691535150645628E-2</v>
      </c>
      <c r="T243">
        <v>0</v>
      </c>
      <c r="U243">
        <v>9.4691535150645628E-2</v>
      </c>
    </row>
    <row r="244" spans="1:21" x14ac:dyDescent="0.35">
      <c r="A244" s="24" t="s">
        <v>528</v>
      </c>
      <c r="B244" s="1" t="s">
        <v>18</v>
      </c>
      <c r="C244">
        <v>501</v>
      </c>
      <c r="D244">
        <v>0</v>
      </c>
      <c r="E244">
        <v>501</v>
      </c>
      <c r="F244">
        <v>181</v>
      </c>
      <c r="G244">
        <v>55</v>
      </c>
      <c r="H244">
        <v>0</v>
      </c>
      <c r="I244">
        <v>55</v>
      </c>
      <c r="J244">
        <v>1</v>
      </c>
      <c r="K244">
        <v>0</v>
      </c>
      <c r="L244">
        <v>1</v>
      </c>
      <c r="M244">
        <v>0</v>
      </c>
      <c r="N244">
        <v>0</v>
      </c>
      <c r="O244">
        <v>0</v>
      </c>
      <c r="P244">
        <v>0</v>
      </c>
      <c r="Q244">
        <v>0</v>
      </c>
      <c r="R244">
        <v>0</v>
      </c>
      <c r="S244">
        <v>0.11177644710578842</v>
      </c>
      <c r="T244">
        <v>0</v>
      </c>
      <c r="U244">
        <v>0.11177644710578842</v>
      </c>
    </row>
    <row r="245" spans="1:21" x14ac:dyDescent="0.35">
      <c r="A245" s="24" t="s">
        <v>529</v>
      </c>
      <c r="B245" s="1" t="s">
        <v>55</v>
      </c>
      <c r="C245">
        <v>416</v>
      </c>
      <c r="D245">
        <v>0</v>
      </c>
      <c r="E245">
        <v>416</v>
      </c>
      <c r="F245">
        <v>203</v>
      </c>
      <c r="G245">
        <v>25</v>
      </c>
      <c r="H245">
        <v>0</v>
      </c>
      <c r="I245">
        <v>25</v>
      </c>
      <c r="J245">
        <v>0</v>
      </c>
      <c r="K245">
        <v>0</v>
      </c>
      <c r="L245">
        <v>0</v>
      </c>
      <c r="M245">
        <v>0</v>
      </c>
      <c r="N245">
        <v>0</v>
      </c>
      <c r="O245">
        <v>0</v>
      </c>
      <c r="P245">
        <v>0</v>
      </c>
      <c r="Q245">
        <v>0</v>
      </c>
      <c r="R245">
        <v>0</v>
      </c>
      <c r="S245">
        <v>6.0096153846153848E-2</v>
      </c>
      <c r="T245">
        <v>0</v>
      </c>
      <c r="U245">
        <v>6.0096153846153848E-2</v>
      </c>
    </row>
    <row r="246" spans="1:21" x14ac:dyDescent="0.35">
      <c r="A246" s="24" t="s">
        <v>530</v>
      </c>
      <c r="B246" s="1" t="s">
        <v>21</v>
      </c>
      <c r="C246">
        <v>576</v>
      </c>
      <c r="D246">
        <v>0</v>
      </c>
      <c r="E246">
        <v>576</v>
      </c>
      <c r="F246">
        <v>227</v>
      </c>
      <c r="G246">
        <v>45</v>
      </c>
      <c r="H246">
        <v>0</v>
      </c>
      <c r="I246">
        <v>45</v>
      </c>
      <c r="J246">
        <v>3</v>
      </c>
      <c r="K246">
        <v>0</v>
      </c>
      <c r="L246">
        <v>3</v>
      </c>
      <c r="M246">
        <v>0</v>
      </c>
      <c r="N246">
        <v>0</v>
      </c>
      <c r="O246">
        <v>0</v>
      </c>
      <c r="P246">
        <v>0</v>
      </c>
      <c r="Q246">
        <v>0</v>
      </c>
      <c r="R246">
        <v>0</v>
      </c>
      <c r="S246">
        <v>8.3333333333333329E-2</v>
      </c>
      <c r="T246">
        <v>0</v>
      </c>
      <c r="U246">
        <v>8.3333333333333329E-2</v>
      </c>
    </row>
    <row r="247" spans="1:21" x14ac:dyDescent="0.35">
      <c r="A247" s="24">
        <v>45666</v>
      </c>
      <c r="B247" s="1" t="s">
        <v>58</v>
      </c>
      <c r="C247">
        <v>562</v>
      </c>
      <c r="D247">
        <v>0</v>
      </c>
      <c r="E247">
        <v>562</v>
      </c>
      <c r="F247">
        <v>270</v>
      </c>
      <c r="G247">
        <v>53</v>
      </c>
      <c r="H247">
        <v>0</v>
      </c>
      <c r="I247">
        <v>53</v>
      </c>
      <c r="J247">
        <v>2</v>
      </c>
      <c r="K247">
        <v>0</v>
      </c>
      <c r="L247">
        <v>2</v>
      </c>
      <c r="M247">
        <v>0</v>
      </c>
      <c r="N247">
        <v>0</v>
      </c>
      <c r="O247">
        <v>0</v>
      </c>
      <c r="P247">
        <v>0</v>
      </c>
      <c r="Q247">
        <v>0</v>
      </c>
      <c r="R247">
        <v>0</v>
      </c>
      <c r="S247">
        <v>9.7864768683274025E-2</v>
      </c>
      <c r="T247">
        <v>0</v>
      </c>
      <c r="U247">
        <v>9.7864768683274025E-2</v>
      </c>
    </row>
    <row r="248" spans="1:21" x14ac:dyDescent="0.35">
      <c r="A248" s="24">
        <v>45697</v>
      </c>
      <c r="B248" s="1" t="s">
        <v>66</v>
      </c>
      <c r="C248">
        <v>549</v>
      </c>
      <c r="D248">
        <v>0</v>
      </c>
      <c r="E248">
        <v>549</v>
      </c>
      <c r="F248">
        <v>193</v>
      </c>
      <c r="G248">
        <v>41</v>
      </c>
      <c r="H248">
        <v>0</v>
      </c>
      <c r="I248">
        <v>41</v>
      </c>
      <c r="J248">
        <v>4</v>
      </c>
      <c r="K248">
        <v>0</v>
      </c>
      <c r="L248">
        <v>4</v>
      </c>
      <c r="M248">
        <v>0</v>
      </c>
      <c r="N248">
        <v>0</v>
      </c>
      <c r="O248">
        <v>0</v>
      </c>
      <c r="P248">
        <v>0</v>
      </c>
      <c r="Q248">
        <v>0</v>
      </c>
      <c r="R248">
        <v>0</v>
      </c>
      <c r="S248">
        <v>8.1967213114754092E-2</v>
      </c>
      <c r="T248">
        <v>0</v>
      </c>
      <c r="U248">
        <v>8.1967213114754092E-2</v>
      </c>
    </row>
    <row r="249" spans="1:21" x14ac:dyDescent="0.35">
      <c r="A249" s="24">
        <v>45725</v>
      </c>
      <c r="B249" s="1" t="s">
        <v>20</v>
      </c>
      <c r="C249">
        <v>1570</v>
      </c>
      <c r="D249">
        <v>0</v>
      </c>
      <c r="E249">
        <v>1570</v>
      </c>
      <c r="F249">
        <v>714</v>
      </c>
      <c r="G249">
        <v>62</v>
      </c>
      <c r="H249">
        <v>0</v>
      </c>
      <c r="I249">
        <v>62</v>
      </c>
      <c r="J249">
        <v>21</v>
      </c>
      <c r="K249">
        <v>0</v>
      </c>
      <c r="L249">
        <v>21</v>
      </c>
      <c r="M249">
        <v>5</v>
      </c>
      <c r="N249">
        <v>0</v>
      </c>
      <c r="O249">
        <v>5</v>
      </c>
      <c r="P249">
        <v>0</v>
      </c>
      <c r="Q249">
        <v>0</v>
      </c>
      <c r="R249">
        <v>0</v>
      </c>
      <c r="S249">
        <v>5.605095541401274E-2</v>
      </c>
      <c r="T249">
        <v>0</v>
      </c>
      <c r="U249">
        <v>5.605095541401274E-2</v>
      </c>
    </row>
    <row r="250" spans="1:21" x14ac:dyDescent="0.35">
      <c r="A250" s="24">
        <v>45756</v>
      </c>
      <c r="B250" s="1" t="s">
        <v>51</v>
      </c>
      <c r="C250">
        <v>1604</v>
      </c>
      <c r="D250">
        <v>0</v>
      </c>
      <c r="E250">
        <v>1604</v>
      </c>
      <c r="F250">
        <v>793</v>
      </c>
      <c r="G250">
        <v>257</v>
      </c>
      <c r="H250">
        <v>0</v>
      </c>
      <c r="I250">
        <v>257</v>
      </c>
      <c r="J250">
        <v>28</v>
      </c>
      <c r="K250">
        <v>0</v>
      </c>
      <c r="L250">
        <v>28</v>
      </c>
      <c r="M250">
        <v>8</v>
      </c>
      <c r="N250">
        <v>0</v>
      </c>
      <c r="O250">
        <v>8</v>
      </c>
      <c r="P250">
        <v>0</v>
      </c>
      <c r="Q250">
        <v>0</v>
      </c>
      <c r="R250">
        <v>0</v>
      </c>
      <c r="S250">
        <v>0.18266832917705736</v>
      </c>
      <c r="T250">
        <v>0</v>
      </c>
      <c r="U250">
        <v>0.18266832917705736</v>
      </c>
    </row>
    <row r="251" spans="1:21" x14ac:dyDescent="0.35">
      <c r="A251" s="24">
        <v>45786</v>
      </c>
      <c r="B251" s="1" t="s">
        <v>18</v>
      </c>
      <c r="C251">
        <v>835</v>
      </c>
      <c r="D251">
        <v>0</v>
      </c>
      <c r="E251">
        <v>835</v>
      </c>
      <c r="F251">
        <v>356</v>
      </c>
      <c r="G251">
        <v>131</v>
      </c>
      <c r="H251">
        <v>0</v>
      </c>
      <c r="I251">
        <v>131</v>
      </c>
      <c r="J251">
        <v>5</v>
      </c>
      <c r="K251">
        <v>0</v>
      </c>
      <c r="L251">
        <v>5</v>
      </c>
      <c r="M251">
        <v>0</v>
      </c>
      <c r="N251">
        <v>0</v>
      </c>
      <c r="O251">
        <v>0</v>
      </c>
      <c r="P251">
        <v>0</v>
      </c>
      <c r="Q251">
        <v>0</v>
      </c>
      <c r="R251">
        <v>0</v>
      </c>
      <c r="S251">
        <v>0.16287425149700599</v>
      </c>
      <c r="T251">
        <v>0</v>
      </c>
      <c r="U251">
        <v>0.16287425149700599</v>
      </c>
    </row>
    <row r="252" spans="1:21" x14ac:dyDescent="0.35">
      <c r="A252" s="24">
        <v>45817</v>
      </c>
      <c r="B252" s="1" t="s">
        <v>55</v>
      </c>
      <c r="C252">
        <v>967</v>
      </c>
      <c r="D252">
        <v>0</v>
      </c>
      <c r="E252">
        <v>967</v>
      </c>
      <c r="F252">
        <v>358</v>
      </c>
      <c r="G252">
        <v>145</v>
      </c>
      <c r="H252">
        <v>0</v>
      </c>
      <c r="I252">
        <v>145</v>
      </c>
      <c r="J252">
        <v>8</v>
      </c>
      <c r="K252">
        <v>0</v>
      </c>
      <c r="L252">
        <v>8</v>
      </c>
      <c r="M252">
        <v>1</v>
      </c>
      <c r="N252">
        <v>0</v>
      </c>
      <c r="O252">
        <v>1</v>
      </c>
      <c r="P252">
        <v>0</v>
      </c>
      <c r="Q252">
        <v>0</v>
      </c>
      <c r="R252">
        <v>0</v>
      </c>
      <c r="S252">
        <v>0.1592554291623578</v>
      </c>
      <c r="T252">
        <v>0</v>
      </c>
      <c r="U252">
        <v>0.1592554291623578</v>
      </c>
    </row>
    <row r="253" spans="1:21" x14ac:dyDescent="0.35">
      <c r="A253" s="24">
        <v>45847</v>
      </c>
      <c r="B253" s="1" t="s">
        <v>21</v>
      </c>
      <c r="C253">
        <v>701</v>
      </c>
      <c r="D253">
        <v>0</v>
      </c>
      <c r="E253">
        <v>701</v>
      </c>
      <c r="F253">
        <v>319</v>
      </c>
      <c r="G253">
        <v>71</v>
      </c>
      <c r="H253">
        <v>0</v>
      </c>
      <c r="I253">
        <v>71</v>
      </c>
      <c r="J253">
        <v>6</v>
      </c>
      <c r="K253">
        <v>0</v>
      </c>
      <c r="L253">
        <v>6</v>
      </c>
      <c r="M253">
        <v>0</v>
      </c>
      <c r="N253">
        <v>0</v>
      </c>
      <c r="O253">
        <v>0</v>
      </c>
      <c r="P253">
        <v>0</v>
      </c>
      <c r="Q253">
        <v>0</v>
      </c>
      <c r="R253">
        <v>0</v>
      </c>
      <c r="S253">
        <v>0.10984308131241084</v>
      </c>
      <c r="T253">
        <v>0</v>
      </c>
      <c r="U253">
        <v>0.10984308131241084</v>
      </c>
    </row>
    <row r="254" spans="1:21" x14ac:dyDescent="0.35">
      <c r="A254" s="24">
        <v>45878</v>
      </c>
      <c r="B254" s="1" t="s">
        <v>58</v>
      </c>
      <c r="C254">
        <v>850</v>
      </c>
      <c r="D254">
        <v>0</v>
      </c>
      <c r="E254">
        <v>850</v>
      </c>
      <c r="F254">
        <v>316</v>
      </c>
      <c r="G254">
        <v>101</v>
      </c>
      <c r="H254">
        <v>0</v>
      </c>
      <c r="I254">
        <v>101</v>
      </c>
      <c r="J254">
        <v>7</v>
      </c>
      <c r="K254">
        <v>0</v>
      </c>
      <c r="L254">
        <v>7</v>
      </c>
      <c r="M254">
        <v>1</v>
      </c>
      <c r="N254">
        <v>0</v>
      </c>
      <c r="O254">
        <v>1</v>
      </c>
      <c r="P254">
        <v>0</v>
      </c>
      <c r="Q254">
        <v>0</v>
      </c>
      <c r="R254">
        <v>0</v>
      </c>
      <c r="S254">
        <v>0.12823529411764706</v>
      </c>
      <c r="T254">
        <v>0</v>
      </c>
      <c r="U254">
        <v>0.12823529411764706</v>
      </c>
    </row>
    <row r="255" spans="1:21" x14ac:dyDescent="0.35">
      <c r="A255" s="24">
        <v>45909</v>
      </c>
      <c r="B255" s="1" t="s">
        <v>66</v>
      </c>
      <c r="C255">
        <v>652</v>
      </c>
      <c r="D255">
        <v>0</v>
      </c>
      <c r="E255">
        <v>652</v>
      </c>
      <c r="F255">
        <v>197</v>
      </c>
      <c r="G255">
        <v>48</v>
      </c>
      <c r="H255">
        <v>0</v>
      </c>
      <c r="I255">
        <v>48</v>
      </c>
      <c r="J255">
        <v>2</v>
      </c>
      <c r="K255">
        <v>0</v>
      </c>
      <c r="L255">
        <v>2</v>
      </c>
      <c r="M255">
        <v>4</v>
      </c>
      <c r="N255">
        <v>0</v>
      </c>
      <c r="O255">
        <v>4</v>
      </c>
      <c r="P255">
        <v>0</v>
      </c>
      <c r="Q255">
        <v>0</v>
      </c>
      <c r="R255">
        <v>0</v>
      </c>
      <c r="S255">
        <v>8.2822085889570546E-2</v>
      </c>
      <c r="T255">
        <v>0</v>
      </c>
      <c r="U255">
        <v>8.2822085889570546E-2</v>
      </c>
    </row>
    <row r="256" spans="1:21" x14ac:dyDescent="0.35">
      <c r="A256" s="24">
        <v>45939</v>
      </c>
      <c r="B256" s="1" t="s">
        <v>20</v>
      </c>
      <c r="C256">
        <v>627</v>
      </c>
      <c r="D256">
        <v>0</v>
      </c>
      <c r="E256">
        <v>627</v>
      </c>
      <c r="F256">
        <v>309</v>
      </c>
      <c r="G256">
        <v>44</v>
      </c>
      <c r="H256">
        <v>0</v>
      </c>
      <c r="I256">
        <v>44</v>
      </c>
      <c r="J256">
        <v>4</v>
      </c>
      <c r="K256">
        <v>0</v>
      </c>
      <c r="L256">
        <v>4</v>
      </c>
      <c r="M256">
        <v>0</v>
      </c>
      <c r="N256">
        <v>0</v>
      </c>
      <c r="O256">
        <v>0</v>
      </c>
      <c r="P256">
        <v>0</v>
      </c>
      <c r="Q256">
        <v>0</v>
      </c>
      <c r="R256">
        <v>0</v>
      </c>
      <c r="S256">
        <v>7.6555023923444973E-2</v>
      </c>
      <c r="T256">
        <v>0</v>
      </c>
      <c r="U256">
        <v>7.6555023923444973E-2</v>
      </c>
    </row>
    <row r="257" spans="1:21" x14ac:dyDescent="0.35">
      <c r="A257" s="24">
        <v>45970</v>
      </c>
      <c r="B257" s="1" t="s">
        <v>51</v>
      </c>
      <c r="C257">
        <v>654</v>
      </c>
      <c r="D257">
        <v>0</v>
      </c>
      <c r="E257">
        <v>654</v>
      </c>
      <c r="F257">
        <v>265</v>
      </c>
      <c r="G257">
        <v>73</v>
      </c>
      <c r="H257">
        <v>0</v>
      </c>
      <c r="I257">
        <v>73</v>
      </c>
      <c r="J257">
        <v>12</v>
      </c>
      <c r="K257">
        <v>0</v>
      </c>
      <c r="L257">
        <v>12</v>
      </c>
      <c r="M257">
        <v>1</v>
      </c>
      <c r="N257">
        <v>0</v>
      </c>
      <c r="O257">
        <v>1</v>
      </c>
      <c r="P257">
        <v>0</v>
      </c>
      <c r="Q257">
        <v>0</v>
      </c>
      <c r="R257">
        <v>0</v>
      </c>
      <c r="S257">
        <v>0.13149847094801223</v>
      </c>
      <c r="T257">
        <v>0</v>
      </c>
      <c r="U257">
        <v>0.13149847094801223</v>
      </c>
    </row>
    <row r="258" spans="1:21" x14ac:dyDescent="0.35">
      <c r="A258" s="24">
        <v>46000</v>
      </c>
      <c r="B258" s="1" t="s">
        <v>18</v>
      </c>
      <c r="C258">
        <v>377</v>
      </c>
      <c r="D258">
        <v>0</v>
      </c>
      <c r="E258">
        <v>377</v>
      </c>
      <c r="F258">
        <v>181</v>
      </c>
      <c r="G258">
        <v>36</v>
      </c>
      <c r="H258">
        <v>0</v>
      </c>
      <c r="I258">
        <v>36</v>
      </c>
      <c r="J258">
        <v>0</v>
      </c>
      <c r="K258">
        <v>0</v>
      </c>
      <c r="L258">
        <v>0</v>
      </c>
      <c r="M258">
        <v>0</v>
      </c>
      <c r="N258">
        <v>0</v>
      </c>
      <c r="O258">
        <v>0</v>
      </c>
      <c r="P258">
        <v>0</v>
      </c>
      <c r="Q258">
        <v>0</v>
      </c>
      <c r="R258">
        <v>0</v>
      </c>
      <c r="S258">
        <v>9.5490716180371346E-2</v>
      </c>
      <c r="T258">
        <v>0</v>
      </c>
      <c r="U258">
        <v>9.5490716180371346E-2</v>
      </c>
    </row>
    <row r="259" spans="1:21" x14ac:dyDescent="0.35">
      <c r="A259" s="24" t="s">
        <v>531</v>
      </c>
      <c r="B259" s="1" t="s">
        <v>55</v>
      </c>
      <c r="C259">
        <v>465</v>
      </c>
      <c r="D259">
        <v>0</v>
      </c>
      <c r="E259">
        <v>465</v>
      </c>
      <c r="F259">
        <v>228</v>
      </c>
      <c r="G259">
        <v>44</v>
      </c>
      <c r="H259">
        <v>0</v>
      </c>
      <c r="I259">
        <v>44</v>
      </c>
      <c r="J259">
        <v>2</v>
      </c>
      <c r="K259">
        <v>0</v>
      </c>
      <c r="L259">
        <v>2</v>
      </c>
      <c r="M259">
        <v>0</v>
      </c>
      <c r="N259">
        <v>0</v>
      </c>
      <c r="O259">
        <v>0</v>
      </c>
      <c r="P259">
        <v>0</v>
      </c>
      <c r="Q259">
        <v>0</v>
      </c>
      <c r="R259">
        <v>0</v>
      </c>
      <c r="S259">
        <v>9.8924731182795697E-2</v>
      </c>
      <c r="T259">
        <v>0</v>
      </c>
      <c r="U259">
        <v>9.8924731182795697E-2</v>
      </c>
    </row>
    <row r="260" spans="1:21" x14ac:dyDescent="0.35">
      <c r="A260" s="24" t="s">
        <v>532</v>
      </c>
      <c r="B260" s="1" t="s">
        <v>21</v>
      </c>
      <c r="C260">
        <v>347</v>
      </c>
      <c r="D260">
        <v>0</v>
      </c>
      <c r="E260">
        <v>347</v>
      </c>
      <c r="F260">
        <v>178</v>
      </c>
      <c r="G260">
        <v>29</v>
      </c>
      <c r="H260">
        <v>0</v>
      </c>
      <c r="I260">
        <v>29</v>
      </c>
      <c r="J260">
        <v>0</v>
      </c>
      <c r="K260">
        <v>0</v>
      </c>
      <c r="L260">
        <v>0</v>
      </c>
      <c r="M260">
        <v>0</v>
      </c>
      <c r="N260">
        <v>0</v>
      </c>
      <c r="O260">
        <v>0</v>
      </c>
      <c r="P260">
        <v>0</v>
      </c>
      <c r="Q260">
        <v>0</v>
      </c>
      <c r="R260">
        <v>0</v>
      </c>
      <c r="S260">
        <v>8.3573487031700283E-2</v>
      </c>
      <c r="T260">
        <v>0</v>
      </c>
      <c r="U260">
        <v>8.3573487031700283E-2</v>
      </c>
    </row>
    <row r="261" spans="1:21" x14ac:dyDescent="0.35">
      <c r="A261" s="24" t="s">
        <v>533</v>
      </c>
      <c r="B261" s="1" t="s">
        <v>58</v>
      </c>
      <c r="C261">
        <v>397</v>
      </c>
      <c r="D261">
        <v>0</v>
      </c>
      <c r="E261">
        <v>397</v>
      </c>
      <c r="F261">
        <v>150</v>
      </c>
      <c r="G261">
        <v>66</v>
      </c>
      <c r="H261">
        <v>0</v>
      </c>
      <c r="I261">
        <v>66</v>
      </c>
      <c r="J261">
        <v>0</v>
      </c>
      <c r="K261">
        <v>0</v>
      </c>
      <c r="L261">
        <v>0</v>
      </c>
      <c r="M261">
        <v>0</v>
      </c>
      <c r="N261">
        <v>0</v>
      </c>
      <c r="O261">
        <v>0</v>
      </c>
      <c r="P261">
        <v>-4</v>
      </c>
      <c r="Q261">
        <v>0</v>
      </c>
      <c r="R261">
        <v>-4</v>
      </c>
      <c r="S261">
        <v>0.15617128463476071</v>
      </c>
      <c r="T261">
        <v>0</v>
      </c>
      <c r="U261">
        <v>0.15617128463476071</v>
      </c>
    </row>
    <row r="262" spans="1:21" x14ac:dyDescent="0.35">
      <c r="A262" s="24" t="s">
        <v>534</v>
      </c>
      <c r="B262" s="1" t="s">
        <v>66</v>
      </c>
      <c r="C262">
        <v>267</v>
      </c>
      <c r="D262">
        <v>0</v>
      </c>
      <c r="E262">
        <v>267</v>
      </c>
      <c r="F262">
        <v>123</v>
      </c>
      <c r="G262">
        <v>26</v>
      </c>
      <c r="H262">
        <v>0</v>
      </c>
      <c r="I262">
        <v>26</v>
      </c>
      <c r="J262">
        <v>3</v>
      </c>
      <c r="K262">
        <v>0</v>
      </c>
      <c r="L262">
        <v>3</v>
      </c>
      <c r="M262">
        <v>0</v>
      </c>
      <c r="N262">
        <v>0</v>
      </c>
      <c r="O262">
        <v>0</v>
      </c>
      <c r="P262">
        <v>0</v>
      </c>
      <c r="Q262">
        <v>0</v>
      </c>
      <c r="R262">
        <v>0</v>
      </c>
      <c r="S262">
        <v>0.10861423220973783</v>
      </c>
      <c r="T262">
        <v>0</v>
      </c>
      <c r="U262">
        <v>0.10861423220973783</v>
      </c>
    </row>
    <row r="263" spans="1:21" x14ac:dyDescent="0.35">
      <c r="A263" s="24" t="s">
        <v>535</v>
      </c>
      <c r="B263" s="1" t="s">
        <v>20</v>
      </c>
      <c r="C263">
        <v>367</v>
      </c>
      <c r="D263">
        <v>0</v>
      </c>
      <c r="E263">
        <v>367</v>
      </c>
      <c r="F263">
        <v>163</v>
      </c>
      <c r="G263">
        <v>27</v>
      </c>
      <c r="H263">
        <v>0</v>
      </c>
      <c r="I263">
        <v>27</v>
      </c>
      <c r="J263">
        <v>1</v>
      </c>
      <c r="K263">
        <v>0</v>
      </c>
      <c r="L263">
        <v>1</v>
      </c>
      <c r="M263">
        <v>0</v>
      </c>
      <c r="N263">
        <v>0</v>
      </c>
      <c r="O263">
        <v>0</v>
      </c>
      <c r="P263">
        <v>0</v>
      </c>
      <c r="Q263">
        <v>0</v>
      </c>
      <c r="R263">
        <v>0</v>
      </c>
      <c r="S263">
        <v>7.6294277929155316E-2</v>
      </c>
      <c r="T263">
        <v>0</v>
      </c>
      <c r="U263">
        <v>7.6294277929155316E-2</v>
      </c>
    </row>
    <row r="264" spans="1:21" x14ac:dyDescent="0.35">
      <c r="A264" s="24" t="s">
        <v>536</v>
      </c>
      <c r="B264" s="1" t="s">
        <v>51</v>
      </c>
      <c r="C264">
        <v>344</v>
      </c>
      <c r="D264">
        <v>0</v>
      </c>
      <c r="E264">
        <v>344</v>
      </c>
      <c r="F264">
        <v>128</v>
      </c>
      <c r="G264">
        <v>32</v>
      </c>
      <c r="H264">
        <v>0</v>
      </c>
      <c r="I264">
        <v>32</v>
      </c>
      <c r="J264">
        <v>1</v>
      </c>
      <c r="K264">
        <v>0</v>
      </c>
      <c r="L264">
        <v>1</v>
      </c>
      <c r="M264">
        <v>0</v>
      </c>
      <c r="N264">
        <v>0</v>
      </c>
      <c r="O264">
        <v>0</v>
      </c>
      <c r="P264">
        <v>0</v>
      </c>
      <c r="Q264">
        <v>0</v>
      </c>
      <c r="R264">
        <v>0</v>
      </c>
      <c r="S264">
        <v>9.5930232558139539E-2</v>
      </c>
      <c r="T264">
        <v>0</v>
      </c>
      <c r="U264">
        <v>9.5930232558139539E-2</v>
      </c>
    </row>
    <row r="265" spans="1:21" x14ac:dyDescent="0.35">
      <c r="A265" s="24" t="s">
        <v>448</v>
      </c>
      <c r="B265" s="1" t="s">
        <v>18</v>
      </c>
      <c r="C265">
        <v>589</v>
      </c>
      <c r="D265">
        <v>0</v>
      </c>
      <c r="E265">
        <v>589</v>
      </c>
      <c r="F265">
        <v>267</v>
      </c>
      <c r="G265">
        <v>34</v>
      </c>
      <c r="H265">
        <v>0</v>
      </c>
      <c r="I265">
        <v>34</v>
      </c>
      <c r="J265">
        <v>12</v>
      </c>
      <c r="K265">
        <v>0</v>
      </c>
      <c r="L265">
        <v>12</v>
      </c>
      <c r="M265">
        <v>0</v>
      </c>
      <c r="N265">
        <v>0</v>
      </c>
      <c r="O265">
        <v>0</v>
      </c>
      <c r="P265">
        <v>0</v>
      </c>
      <c r="Q265">
        <v>0</v>
      </c>
      <c r="R265">
        <v>0</v>
      </c>
      <c r="S265">
        <v>7.8098471986417659E-2</v>
      </c>
      <c r="T265">
        <v>0</v>
      </c>
      <c r="U265">
        <v>7.8098471986417659E-2</v>
      </c>
    </row>
    <row r="266" spans="1:21" x14ac:dyDescent="0.35">
      <c r="A266" s="24" t="s">
        <v>537</v>
      </c>
      <c r="B266" s="1" t="s">
        <v>55</v>
      </c>
      <c r="C266">
        <v>295</v>
      </c>
      <c r="D266">
        <v>0</v>
      </c>
      <c r="E266">
        <v>295</v>
      </c>
      <c r="F266">
        <v>167</v>
      </c>
      <c r="G266">
        <v>24</v>
      </c>
      <c r="H266">
        <v>0</v>
      </c>
      <c r="I266">
        <v>24</v>
      </c>
      <c r="J266">
        <v>13</v>
      </c>
      <c r="K266">
        <v>0</v>
      </c>
      <c r="L266">
        <v>13</v>
      </c>
      <c r="M266">
        <v>0</v>
      </c>
      <c r="N266">
        <v>0</v>
      </c>
      <c r="O266">
        <v>0</v>
      </c>
      <c r="P266">
        <v>0</v>
      </c>
      <c r="Q266">
        <v>0</v>
      </c>
      <c r="R266">
        <v>0</v>
      </c>
      <c r="S266">
        <v>0.12542372881355932</v>
      </c>
      <c r="T266">
        <v>0</v>
      </c>
      <c r="U266">
        <v>0.12542372881355932</v>
      </c>
    </row>
    <row r="267" spans="1:21" x14ac:dyDescent="0.35">
      <c r="A267" s="24" t="s">
        <v>538</v>
      </c>
      <c r="B267" s="1" t="s">
        <v>21</v>
      </c>
      <c r="C267">
        <v>222</v>
      </c>
      <c r="D267">
        <v>0</v>
      </c>
      <c r="E267">
        <v>222</v>
      </c>
      <c r="F267">
        <v>97</v>
      </c>
      <c r="G267">
        <v>22</v>
      </c>
      <c r="H267">
        <v>0</v>
      </c>
      <c r="I267">
        <v>22</v>
      </c>
      <c r="J267">
        <v>0</v>
      </c>
      <c r="K267">
        <v>0</v>
      </c>
      <c r="L267">
        <v>0</v>
      </c>
      <c r="M267">
        <v>0</v>
      </c>
      <c r="N267">
        <v>0</v>
      </c>
      <c r="O267">
        <v>0</v>
      </c>
      <c r="P267">
        <v>0</v>
      </c>
      <c r="Q267">
        <v>0</v>
      </c>
      <c r="R267">
        <v>0</v>
      </c>
      <c r="S267">
        <v>9.90990990990991E-2</v>
      </c>
      <c r="T267">
        <v>0</v>
      </c>
      <c r="U267">
        <v>9.90990990990991E-2</v>
      </c>
    </row>
    <row r="268" spans="1:21" x14ac:dyDescent="0.35">
      <c r="A268" s="24" t="s">
        <v>539</v>
      </c>
      <c r="B268" s="1" t="s">
        <v>58</v>
      </c>
      <c r="C268">
        <v>332</v>
      </c>
      <c r="D268">
        <v>0</v>
      </c>
      <c r="E268">
        <v>332</v>
      </c>
      <c r="F268">
        <v>102</v>
      </c>
      <c r="G268">
        <v>16</v>
      </c>
      <c r="H268">
        <v>0</v>
      </c>
      <c r="I268">
        <v>16</v>
      </c>
      <c r="J268">
        <v>5</v>
      </c>
      <c r="K268">
        <v>0</v>
      </c>
      <c r="L268">
        <v>5</v>
      </c>
      <c r="M268">
        <v>1</v>
      </c>
      <c r="N268">
        <v>0</v>
      </c>
      <c r="O268">
        <v>1</v>
      </c>
      <c r="P268">
        <v>0</v>
      </c>
      <c r="Q268">
        <v>0</v>
      </c>
      <c r="R268">
        <v>0</v>
      </c>
      <c r="S268">
        <v>6.6265060240963861E-2</v>
      </c>
      <c r="T268">
        <v>0</v>
      </c>
      <c r="U268">
        <v>6.6265060240963861E-2</v>
      </c>
    </row>
    <row r="269" spans="1:21" x14ac:dyDescent="0.35">
      <c r="A269" s="24" t="s">
        <v>540</v>
      </c>
      <c r="B269" s="1" t="s">
        <v>66</v>
      </c>
      <c r="C269">
        <v>160</v>
      </c>
      <c r="D269">
        <v>0</v>
      </c>
      <c r="E269">
        <v>160</v>
      </c>
      <c r="F269">
        <v>81</v>
      </c>
      <c r="G269">
        <v>10</v>
      </c>
      <c r="H269">
        <v>0</v>
      </c>
      <c r="I269">
        <v>10</v>
      </c>
      <c r="J269">
        <v>2</v>
      </c>
      <c r="K269">
        <v>0</v>
      </c>
      <c r="L269">
        <v>2</v>
      </c>
      <c r="M269">
        <v>0</v>
      </c>
      <c r="N269">
        <v>0</v>
      </c>
      <c r="O269">
        <v>0</v>
      </c>
      <c r="P269">
        <v>0</v>
      </c>
      <c r="Q269">
        <v>0</v>
      </c>
      <c r="R269">
        <v>0</v>
      </c>
      <c r="S269">
        <v>7.4999999999999997E-2</v>
      </c>
      <c r="T269">
        <v>0</v>
      </c>
      <c r="U269">
        <v>7.4999999999999997E-2</v>
      </c>
    </row>
    <row r="270" spans="1:21" x14ac:dyDescent="0.35">
      <c r="A270" s="24" t="s">
        <v>541</v>
      </c>
      <c r="B270" s="1" t="s">
        <v>20</v>
      </c>
      <c r="C270">
        <v>248</v>
      </c>
      <c r="D270">
        <v>0</v>
      </c>
      <c r="E270">
        <v>248</v>
      </c>
      <c r="F270">
        <v>70</v>
      </c>
      <c r="G270">
        <v>78</v>
      </c>
      <c r="H270">
        <v>0</v>
      </c>
      <c r="I270">
        <v>78</v>
      </c>
      <c r="J270">
        <v>2</v>
      </c>
      <c r="K270">
        <v>0</v>
      </c>
      <c r="L270">
        <v>2</v>
      </c>
      <c r="M270">
        <v>0</v>
      </c>
      <c r="N270">
        <v>0</v>
      </c>
      <c r="O270">
        <v>0</v>
      </c>
      <c r="P270">
        <v>0</v>
      </c>
      <c r="Q270">
        <v>0</v>
      </c>
      <c r="R270">
        <v>0</v>
      </c>
      <c r="S270">
        <v>0.32258064516129031</v>
      </c>
      <c r="T270">
        <v>0</v>
      </c>
      <c r="U270">
        <v>0.32258064516129031</v>
      </c>
    </row>
    <row r="271" spans="1:21" x14ac:dyDescent="0.35">
      <c r="A271" s="24" t="s">
        <v>449</v>
      </c>
      <c r="B271" s="1" t="s">
        <v>51</v>
      </c>
      <c r="C271">
        <v>764</v>
      </c>
      <c r="D271">
        <v>0</v>
      </c>
      <c r="E271">
        <v>764</v>
      </c>
      <c r="F271">
        <v>410</v>
      </c>
      <c r="G271">
        <v>64</v>
      </c>
      <c r="H271">
        <v>0</v>
      </c>
      <c r="I271">
        <v>64</v>
      </c>
      <c r="J271">
        <v>9</v>
      </c>
      <c r="K271">
        <v>0</v>
      </c>
      <c r="L271">
        <v>9</v>
      </c>
      <c r="M271">
        <v>2</v>
      </c>
      <c r="N271">
        <v>0</v>
      </c>
      <c r="O271">
        <v>2</v>
      </c>
      <c r="P271">
        <v>0</v>
      </c>
      <c r="Q271">
        <v>0</v>
      </c>
      <c r="R271">
        <v>0</v>
      </c>
      <c r="S271">
        <v>9.8167539267015713E-2</v>
      </c>
      <c r="T271">
        <v>0</v>
      </c>
      <c r="U271">
        <v>9.8167539267015713E-2</v>
      </c>
    </row>
    <row r="272" spans="1:21" x14ac:dyDescent="0.35">
      <c r="A272" s="24" t="s">
        <v>450</v>
      </c>
      <c r="B272" s="1" t="s">
        <v>18</v>
      </c>
      <c r="C272">
        <v>843</v>
      </c>
      <c r="D272">
        <v>0</v>
      </c>
      <c r="E272">
        <v>843</v>
      </c>
      <c r="F272">
        <v>375</v>
      </c>
      <c r="G272">
        <v>73</v>
      </c>
      <c r="H272">
        <v>0</v>
      </c>
      <c r="I272">
        <v>73</v>
      </c>
      <c r="J272">
        <v>15</v>
      </c>
      <c r="K272">
        <v>0</v>
      </c>
      <c r="L272">
        <v>15</v>
      </c>
      <c r="M272">
        <v>0</v>
      </c>
      <c r="N272">
        <v>0</v>
      </c>
      <c r="O272">
        <v>0</v>
      </c>
      <c r="P272">
        <v>1</v>
      </c>
      <c r="Q272">
        <v>0</v>
      </c>
      <c r="R272">
        <v>1</v>
      </c>
      <c r="S272">
        <v>0.1055753262158956</v>
      </c>
      <c r="T272">
        <v>0</v>
      </c>
      <c r="U272">
        <v>0.1055753262158956</v>
      </c>
    </row>
    <row r="273" spans="1:21" x14ac:dyDescent="0.35">
      <c r="A273" s="24" t="s">
        <v>542</v>
      </c>
      <c r="B273" s="1" t="s">
        <v>55</v>
      </c>
      <c r="C273">
        <v>344</v>
      </c>
      <c r="D273">
        <v>0</v>
      </c>
      <c r="E273">
        <v>344</v>
      </c>
      <c r="F273">
        <v>186</v>
      </c>
      <c r="G273">
        <v>13</v>
      </c>
      <c r="H273">
        <v>0</v>
      </c>
      <c r="I273">
        <v>13</v>
      </c>
      <c r="J273">
        <v>5</v>
      </c>
      <c r="K273">
        <v>0</v>
      </c>
      <c r="L273">
        <v>5</v>
      </c>
      <c r="M273">
        <v>0</v>
      </c>
      <c r="N273">
        <v>0</v>
      </c>
      <c r="O273">
        <v>0</v>
      </c>
      <c r="P273">
        <v>0</v>
      </c>
      <c r="Q273">
        <v>0</v>
      </c>
      <c r="R273">
        <v>0</v>
      </c>
      <c r="S273">
        <v>5.232558139534884E-2</v>
      </c>
      <c r="T273">
        <v>0</v>
      </c>
      <c r="U273">
        <v>5.232558139534884E-2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87D4C-1D41-42A1-812F-9C7CF6FFC6A8}">
  <dimension ref="A1:A107"/>
  <sheetViews>
    <sheetView workbookViewId="0">
      <selection activeCell="A91" sqref="A91"/>
    </sheetView>
  </sheetViews>
  <sheetFormatPr defaultRowHeight="14.5" x14ac:dyDescent="0.35"/>
  <cols>
    <col min="1" max="1" width="118.36328125" customWidth="1"/>
    <col min="3" max="3" width="62.54296875" customWidth="1"/>
  </cols>
  <sheetData>
    <row r="1" spans="1:1" ht="23.5" x14ac:dyDescent="0.35">
      <c r="A1" s="13" t="s">
        <v>309</v>
      </c>
    </row>
    <row r="2" spans="1:1" ht="16" x14ac:dyDescent="0.4">
      <c r="A2" s="27" t="s">
        <v>403</v>
      </c>
    </row>
    <row r="3" spans="1:1" x14ac:dyDescent="0.35">
      <c r="A3" s="18" t="s">
        <v>656</v>
      </c>
    </row>
    <row r="4" spans="1:1" x14ac:dyDescent="0.35">
      <c r="A4" t="s">
        <v>404</v>
      </c>
    </row>
    <row r="5" spans="1:1" x14ac:dyDescent="0.35">
      <c r="A5" t="s">
        <v>405</v>
      </c>
    </row>
    <row r="6" spans="1:1" x14ac:dyDescent="0.35">
      <c r="A6" t="s">
        <v>406</v>
      </c>
    </row>
    <row r="7" spans="1:1" x14ac:dyDescent="0.35">
      <c r="A7" t="s">
        <v>407</v>
      </c>
    </row>
    <row r="8" spans="1:1" x14ac:dyDescent="0.35">
      <c r="A8" t="s">
        <v>408</v>
      </c>
    </row>
    <row r="9" spans="1:1" x14ac:dyDescent="0.35">
      <c r="A9" t="s">
        <v>409</v>
      </c>
    </row>
    <row r="10" spans="1:1" x14ac:dyDescent="0.35">
      <c r="A10" s="18" t="s">
        <v>657</v>
      </c>
    </row>
    <row r="11" spans="1:1" x14ac:dyDescent="0.35">
      <c r="A11" t="s">
        <v>410</v>
      </c>
    </row>
    <row r="12" spans="1:1" x14ac:dyDescent="0.35">
      <c r="A12" t="s">
        <v>405</v>
      </c>
    </row>
    <row r="13" spans="1:1" x14ac:dyDescent="0.35">
      <c r="A13" t="s">
        <v>435</v>
      </c>
    </row>
    <row r="14" spans="1:1" x14ac:dyDescent="0.35">
      <c r="A14" t="s">
        <v>411</v>
      </c>
    </row>
    <row r="15" spans="1:1" x14ac:dyDescent="0.35">
      <c r="A15" t="s">
        <v>412</v>
      </c>
    </row>
    <row r="16" spans="1:1" x14ac:dyDescent="0.35">
      <c r="A16" t="s">
        <v>413</v>
      </c>
    </row>
    <row r="17" spans="1:1" x14ac:dyDescent="0.35">
      <c r="A17" s="18" t="s">
        <v>658</v>
      </c>
    </row>
    <row r="18" spans="1:1" x14ac:dyDescent="0.35">
      <c r="A18" t="s">
        <v>414</v>
      </c>
    </row>
    <row r="19" spans="1:1" x14ac:dyDescent="0.35">
      <c r="A19" t="s">
        <v>415</v>
      </c>
    </row>
    <row r="20" spans="1:1" x14ac:dyDescent="0.35">
      <c r="A20" t="s">
        <v>416</v>
      </c>
    </row>
    <row r="21" spans="1:1" ht="16" x14ac:dyDescent="0.4">
      <c r="A21" s="27" t="s">
        <v>436</v>
      </c>
    </row>
    <row r="22" spans="1:1" x14ac:dyDescent="0.35">
      <c r="A22" s="18" t="s">
        <v>417</v>
      </c>
    </row>
    <row r="23" spans="1:1" x14ac:dyDescent="0.35">
      <c r="A23" t="s">
        <v>418</v>
      </c>
    </row>
    <row r="24" spans="1:1" x14ac:dyDescent="0.35">
      <c r="A24" t="s">
        <v>419</v>
      </c>
    </row>
    <row r="25" spans="1:1" x14ac:dyDescent="0.35">
      <c r="A25" t="s">
        <v>437</v>
      </c>
    </row>
    <row r="26" spans="1:1" x14ac:dyDescent="0.35">
      <c r="A26" s="18" t="s">
        <v>420</v>
      </c>
    </row>
    <row r="27" spans="1:1" x14ac:dyDescent="0.35">
      <c r="A27" t="s">
        <v>421</v>
      </c>
    </row>
    <row r="28" spans="1:1" x14ac:dyDescent="0.35">
      <c r="A28" t="s">
        <v>422</v>
      </c>
    </row>
    <row r="29" spans="1:1" ht="16" x14ac:dyDescent="0.4">
      <c r="A29" s="27" t="s">
        <v>460</v>
      </c>
    </row>
    <row r="30" spans="1:1" x14ac:dyDescent="0.35">
      <c r="A30" s="28" t="s">
        <v>452</v>
      </c>
    </row>
    <row r="31" spans="1:1" x14ac:dyDescent="0.35">
      <c r="A31" t="s">
        <v>453</v>
      </c>
    </row>
    <row r="32" spans="1:1" ht="29" x14ac:dyDescent="0.35">
      <c r="A32" s="9" t="s">
        <v>659</v>
      </c>
    </row>
    <row r="33" spans="1:1" x14ac:dyDescent="0.35">
      <c r="A33" t="s">
        <v>454</v>
      </c>
    </row>
    <row r="34" spans="1:1" x14ac:dyDescent="0.35">
      <c r="A34" t="s">
        <v>455</v>
      </c>
    </row>
    <row r="35" spans="1:1" x14ac:dyDescent="0.35">
      <c r="A35" t="s">
        <v>456</v>
      </c>
    </row>
    <row r="36" spans="1:1" x14ac:dyDescent="0.35">
      <c r="A36" t="s">
        <v>457</v>
      </c>
    </row>
    <row r="37" spans="1:1" x14ac:dyDescent="0.35">
      <c r="A37" t="s">
        <v>458</v>
      </c>
    </row>
    <row r="38" spans="1:1" x14ac:dyDescent="0.35">
      <c r="A38" t="s">
        <v>660</v>
      </c>
    </row>
    <row r="39" spans="1:1" ht="16" x14ac:dyDescent="0.4">
      <c r="A39" s="27" t="s">
        <v>438</v>
      </c>
    </row>
    <row r="40" spans="1:1" x14ac:dyDescent="0.35">
      <c r="A40" s="18" t="s">
        <v>423</v>
      </c>
    </row>
    <row r="41" spans="1:1" x14ac:dyDescent="0.35">
      <c r="A41" t="s">
        <v>424</v>
      </c>
    </row>
    <row r="42" spans="1:1" x14ac:dyDescent="0.35">
      <c r="A42" t="s">
        <v>425</v>
      </c>
    </row>
    <row r="43" spans="1:1" x14ac:dyDescent="0.35">
      <c r="A43" s="18" t="s">
        <v>426</v>
      </c>
    </row>
    <row r="44" spans="1:1" x14ac:dyDescent="0.35">
      <c r="A44" t="s">
        <v>427</v>
      </c>
    </row>
    <row r="45" spans="1:1" x14ac:dyDescent="0.35">
      <c r="A45" t="s">
        <v>428</v>
      </c>
    </row>
    <row r="46" spans="1:1" x14ac:dyDescent="0.35">
      <c r="A46" s="18" t="s">
        <v>429</v>
      </c>
    </row>
    <row r="47" spans="1:1" x14ac:dyDescent="0.35">
      <c r="A47" t="s">
        <v>430</v>
      </c>
    </row>
    <row r="48" spans="1:1" x14ac:dyDescent="0.35">
      <c r="A48" t="s">
        <v>431</v>
      </c>
    </row>
    <row r="49" spans="1:1" x14ac:dyDescent="0.35">
      <c r="A49" s="18" t="s">
        <v>432</v>
      </c>
    </row>
    <row r="50" spans="1:1" x14ac:dyDescent="0.35">
      <c r="A50" t="s">
        <v>433</v>
      </c>
    </row>
    <row r="51" spans="1:1" x14ac:dyDescent="0.35">
      <c r="A51" t="s">
        <v>434</v>
      </c>
    </row>
    <row r="52" spans="1:1" x14ac:dyDescent="0.35">
      <c r="A52" s="18" t="s">
        <v>461</v>
      </c>
    </row>
    <row r="53" spans="1:1" x14ac:dyDescent="0.35">
      <c r="A53" t="s">
        <v>661</v>
      </c>
    </row>
    <row r="54" spans="1:1" x14ac:dyDescent="0.35">
      <c r="A54" t="s">
        <v>459</v>
      </c>
    </row>
    <row r="55" spans="1:1" x14ac:dyDescent="0.35">
      <c r="A55" t="s">
        <v>462</v>
      </c>
    </row>
    <row r="57" spans="1:1" ht="23.5" x14ac:dyDescent="0.55000000000000004">
      <c r="A57" s="25" t="s">
        <v>588</v>
      </c>
    </row>
    <row r="58" spans="1:1" ht="18.5" x14ac:dyDescent="0.45">
      <c r="A58" s="26" t="s">
        <v>544</v>
      </c>
    </row>
    <row r="59" spans="1:1" x14ac:dyDescent="0.35">
      <c r="A59" t="s">
        <v>545</v>
      </c>
    </row>
    <row r="60" spans="1:1" x14ac:dyDescent="0.35">
      <c r="A60" t="s">
        <v>546</v>
      </c>
    </row>
    <row r="61" spans="1:1" x14ac:dyDescent="0.35">
      <c r="A61" t="s">
        <v>547</v>
      </c>
    </row>
    <row r="62" spans="1:1" x14ac:dyDescent="0.35">
      <c r="A62" t="s">
        <v>548</v>
      </c>
    </row>
    <row r="63" spans="1:1" x14ac:dyDescent="0.35">
      <c r="A63" t="s">
        <v>549</v>
      </c>
    </row>
    <row r="64" spans="1:1" x14ac:dyDescent="0.35">
      <c r="A64" t="s">
        <v>550</v>
      </c>
    </row>
    <row r="65" spans="1:1" x14ac:dyDescent="0.35">
      <c r="A65" t="s">
        <v>589</v>
      </c>
    </row>
    <row r="66" spans="1:1" ht="18.5" x14ac:dyDescent="0.45">
      <c r="A66" s="26" t="s">
        <v>551</v>
      </c>
    </row>
    <row r="67" spans="1:1" x14ac:dyDescent="0.35">
      <c r="A67" t="s">
        <v>552</v>
      </c>
    </row>
    <row r="68" spans="1:1" x14ac:dyDescent="0.35">
      <c r="A68" t="s">
        <v>553</v>
      </c>
    </row>
    <row r="69" spans="1:1" x14ac:dyDescent="0.35">
      <c r="A69" t="s">
        <v>554</v>
      </c>
    </row>
    <row r="70" spans="1:1" x14ac:dyDescent="0.35">
      <c r="A70" t="s">
        <v>555</v>
      </c>
    </row>
    <row r="71" spans="1:1" x14ac:dyDescent="0.35">
      <c r="A71" t="s">
        <v>556</v>
      </c>
    </row>
    <row r="72" spans="1:1" x14ac:dyDescent="0.35">
      <c r="A72" t="s">
        <v>557</v>
      </c>
    </row>
    <row r="73" spans="1:1" x14ac:dyDescent="0.35">
      <c r="A73" t="s">
        <v>593</v>
      </c>
    </row>
    <row r="74" spans="1:1" ht="18.5" x14ac:dyDescent="0.45">
      <c r="A74" s="26" t="s">
        <v>558</v>
      </c>
    </row>
    <row r="75" spans="1:1" x14ac:dyDescent="0.35">
      <c r="A75" t="s">
        <v>559</v>
      </c>
    </row>
    <row r="76" spans="1:1" x14ac:dyDescent="0.35">
      <c r="A76" t="s">
        <v>560</v>
      </c>
    </row>
    <row r="77" spans="1:1" x14ac:dyDescent="0.35">
      <c r="A77" t="s">
        <v>561</v>
      </c>
    </row>
    <row r="78" spans="1:1" x14ac:dyDescent="0.35">
      <c r="A78" t="s">
        <v>562</v>
      </c>
    </row>
    <row r="79" spans="1:1" x14ac:dyDescent="0.35">
      <c r="A79" t="s">
        <v>563</v>
      </c>
    </row>
    <row r="80" spans="1:1" x14ac:dyDescent="0.35">
      <c r="A80" t="s">
        <v>564</v>
      </c>
    </row>
    <row r="81" spans="1:1" x14ac:dyDescent="0.35">
      <c r="A81" t="s">
        <v>590</v>
      </c>
    </row>
    <row r="82" spans="1:1" ht="18.5" x14ac:dyDescent="0.45">
      <c r="A82" s="26" t="s">
        <v>565</v>
      </c>
    </row>
    <row r="83" spans="1:1" x14ac:dyDescent="0.35">
      <c r="A83" t="s">
        <v>566</v>
      </c>
    </row>
    <row r="84" spans="1:1" x14ac:dyDescent="0.35">
      <c r="A84" t="s">
        <v>546</v>
      </c>
    </row>
    <row r="85" spans="1:1" x14ac:dyDescent="0.35">
      <c r="A85" t="s">
        <v>567</v>
      </c>
    </row>
    <row r="86" spans="1:1" x14ac:dyDescent="0.35">
      <c r="A86" t="s">
        <v>568</v>
      </c>
    </row>
    <row r="87" spans="1:1" x14ac:dyDescent="0.35">
      <c r="A87" t="s">
        <v>569</v>
      </c>
    </row>
    <row r="88" spans="1:1" x14ac:dyDescent="0.35">
      <c r="A88" t="s">
        <v>591</v>
      </c>
    </row>
    <row r="89" spans="1:1" ht="18.5" x14ac:dyDescent="0.45">
      <c r="A89" s="26" t="s">
        <v>570</v>
      </c>
    </row>
    <row r="90" spans="1:1" x14ac:dyDescent="0.35">
      <c r="A90" t="s">
        <v>571</v>
      </c>
    </row>
    <row r="91" spans="1:1" x14ac:dyDescent="0.35">
      <c r="A91" t="s">
        <v>572</v>
      </c>
    </row>
    <row r="92" spans="1:1" x14ac:dyDescent="0.35">
      <c r="A92" t="s">
        <v>573</v>
      </c>
    </row>
    <row r="93" spans="1:1" x14ac:dyDescent="0.35">
      <c r="A93" t="s">
        <v>574</v>
      </c>
    </row>
    <row r="94" spans="1:1" x14ac:dyDescent="0.35">
      <c r="A94" t="s">
        <v>575</v>
      </c>
    </row>
    <row r="95" spans="1:1" x14ac:dyDescent="0.35">
      <c r="A95" t="s">
        <v>576</v>
      </c>
    </row>
    <row r="96" spans="1:1" x14ac:dyDescent="0.35">
      <c r="A96" t="s">
        <v>577</v>
      </c>
    </row>
    <row r="97" spans="1:1" ht="23.5" x14ac:dyDescent="0.55000000000000004">
      <c r="A97" s="25" t="s">
        <v>592</v>
      </c>
    </row>
    <row r="98" spans="1:1" ht="16" x14ac:dyDescent="0.4">
      <c r="A98" s="27" t="s">
        <v>578</v>
      </c>
    </row>
    <row r="99" spans="1:1" x14ac:dyDescent="0.35">
      <c r="A99" t="s">
        <v>579</v>
      </c>
    </row>
    <row r="100" spans="1:1" ht="16" x14ac:dyDescent="0.4">
      <c r="A100" s="27" t="s">
        <v>580</v>
      </c>
    </row>
    <row r="101" spans="1:1" x14ac:dyDescent="0.35">
      <c r="A101" t="s">
        <v>581</v>
      </c>
    </row>
    <row r="102" spans="1:1" ht="16" x14ac:dyDescent="0.4">
      <c r="A102" s="27" t="s">
        <v>582</v>
      </c>
    </row>
    <row r="103" spans="1:1" x14ac:dyDescent="0.35">
      <c r="A103" t="s">
        <v>583</v>
      </c>
    </row>
    <row r="104" spans="1:1" ht="16" x14ac:dyDescent="0.4">
      <c r="A104" s="27" t="s">
        <v>584</v>
      </c>
    </row>
    <row r="105" spans="1:1" x14ac:dyDescent="0.35">
      <c r="A105" t="s">
        <v>585</v>
      </c>
    </row>
    <row r="106" spans="1:1" ht="16" x14ac:dyDescent="0.4">
      <c r="A106" s="27" t="s">
        <v>586</v>
      </c>
    </row>
    <row r="107" spans="1:1" x14ac:dyDescent="0.35">
      <c r="A107" t="s">
        <v>587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B0B4-9D05-47C8-AE30-FA9B086FFFC9}">
  <dimension ref="A1:AN56"/>
  <sheetViews>
    <sheetView workbookViewId="0">
      <selection activeCell="AL1" sqref="AL1:AN1"/>
    </sheetView>
  </sheetViews>
  <sheetFormatPr defaultRowHeight="14.5" x14ac:dyDescent="0.35"/>
  <cols>
    <col min="1" max="1" width="38.1796875" customWidth="1"/>
    <col min="2" max="2" width="13.54296875" customWidth="1"/>
    <col min="3" max="3" width="14.81640625" customWidth="1"/>
    <col min="4" max="4" width="9.08984375" bestFit="1" customWidth="1"/>
    <col min="5" max="5" width="10.26953125" customWidth="1"/>
    <col min="9" max="9" width="11.08984375" customWidth="1"/>
    <col min="15" max="15" width="11.36328125" customWidth="1"/>
    <col min="18" max="18" width="10" customWidth="1"/>
    <col min="19" max="19" width="12.453125" customWidth="1"/>
    <col min="20" max="24" width="9.1796875" customWidth="1"/>
    <col min="25" max="26" width="8.54296875" customWidth="1"/>
    <col min="27" max="28" width="9.54296875" customWidth="1"/>
    <col min="29" max="30" width="10.7265625" customWidth="1"/>
    <col min="31" max="32" width="12.81640625" customWidth="1"/>
    <col min="33" max="33" width="13.54296875" customWidth="1"/>
    <col min="34" max="35" width="11.36328125" customWidth="1"/>
    <col min="37" max="37" width="15" customWidth="1"/>
  </cols>
  <sheetData>
    <row r="1" spans="1:40" x14ac:dyDescent="0.35">
      <c r="A1" s="6" t="s">
        <v>33</v>
      </c>
      <c r="B1" s="6" t="s">
        <v>32</v>
      </c>
      <c r="C1" s="6" t="s">
        <v>149</v>
      </c>
      <c r="D1" s="6" t="s">
        <v>0</v>
      </c>
      <c r="E1" s="6" t="s">
        <v>17</v>
      </c>
      <c r="F1" s="6" t="s">
        <v>1</v>
      </c>
      <c r="G1" s="6" t="s">
        <v>38</v>
      </c>
      <c r="H1" s="6" t="s">
        <v>2</v>
      </c>
      <c r="I1" s="6" t="s">
        <v>3</v>
      </c>
      <c r="J1" s="6" t="s">
        <v>4</v>
      </c>
      <c r="K1" s="6" t="s">
        <v>5</v>
      </c>
      <c r="L1" s="6" t="s">
        <v>6</v>
      </c>
      <c r="M1" s="6" t="s">
        <v>39</v>
      </c>
      <c r="N1" s="6" t="s">
        <v>40</v>
      </c>
      <c r="O1" s="6" t="s">
        <v>22</v>
      </c>
      <c r="P1" s="6" t="s">
        <v>23</v>
      </c>
      <c r="Q1" s="6" t="s">
        <v>43</v>
      </c>
      <c r="R1" s="6" t="s">
        <v>9</v>
      </c>
      <c r="S1" s="6" t="s">
        <v>10</v>
      </c>
      <c r="T1" s="6" t="s">
        <v>13</v>
      </c>
      <c r="U1" s="6" t="s">
        <v>81</v>
      </c>
      <c r="V1" s="6" t="s">
        <v>82</v>
      </c>
      <c r="W1" s="6" t="s">
        <v>83</v>
      </c>
      <c r="X1" s="6" t="s">
        <v>84</v>
      </c>
      <c r="Y1" s="6" t="s">
        <v>14</v>
      </c>
      <c r="Z1" s="6" t="s">
        <v>29</v>
      </c>
      <c r="AA1" s="6" t="s">
        <v>15</v>
      </c>
      <c r="AB1" s="6" t="s">
        <v>16</v>
      </c>
      <c r="AC1" s="6" t="s">
        <v>7</v>
      </c>
      <c r="AD1" s="6" t="s">
        <v>9</v>
      </c>
      <c r="AE1" s="6" t="s">
        <v>10</v>
      </c>
      <c r="AF1" s="6" t="s">
        <v>44</v>
      </c>
      <c r="AG1" s="6" t="s">
        <v>8</v>
      </c>
      <c r="AH1" s="6" t="s">
        <v>11</v>
      </c>
      <c r="AI1" s="6" t="s">
        <v>30</v>
      </c>
      <c r="AJ1" s="6" t="s">
        <v>12</v>
      </c>
      <c r="AK1" s="6" t="s">
        <v>60</v>
      </c>
      <c r="AL1" s="6" t="s">
        <v>85</v>
      </c>
      <c r="AM1" s="6" t="s">
        <v>86</v>
      </c>
      <c r="AN1" s="6" t="s">
        <v>87</v>
      </c>
    </row>
    <row r="2" spans="1:40" x14ac:dyDescent="0.35">
      <c r="A2" s="3" t="s">
        <v>93</v>
      </c>
      <c r="B2" t="s">
        <v>34</v>
      </c>
      <c r="C2" t="s">
        <v>150</v>
      </c>
      <c r="D2" s="1">
        <v>45717</v>
      </c>
      <c r="E2" t="s">
        <v>18</v>
      </c>
      <c r="F2" s="2">
        <v>0.88263888888888886</v>
      </c>
      <c r="G2" s="2"/>
      <c r="H2">
        <v>51</v>
      </c>
      <c r="I2">
        <v>9</v>
      </c>
      <c r="J2">
        <v>15</v>
      </c>
      <c r="K2">
        <v>1</v>
      </c>
      <c r="L2">
        <v>6346</v>
      </c>
      <c r="AB2">
        <v>3221</v>
      </c>
      <c r="AC2">
        <v>76</v>
      </c>
    </row>
    <row r="3" spans="1:40" x14ac:dyDescent="0.35">
      <c r="A3" t="s">
        <v>19</v>
      </c>
      <c r="B3" t="s">
        <v>34</v>
      </c>
      <c r="C3" t="s">
        <v>151</v>
      </c>
      <c r="D3" s="1">
        <v>45870</v>
      </c>
      <c r="E3" t="s">
        <v>20</v>
      </c>
      <c r="F3" s="2">
        <v>0.73124999999999996</v>
      </c>
      <c r="G3" s="2"/>
      <c r="H3">
        <v>23</v>
      </c>
      <c r="I3">
        <v>0</v>
      </c>
      <c r="J3">
        <v>0</v>
      </c>
      <c r="K3">
        <v>0</v>
      </c>
      <c r="L3">
        <v>322</v>
      </c>
      <c r="R3" s="3">
        <v>0.497</v>
      </c>
      <c r="S3" s="3">
        <v>0.503</v>
      </c>
      <c r="T3">
        <v>221</v>
      </c>
      <c r="Y3">
        <v>99</v>
      </c>
      <c r="AA3">
        <v>2</v>
      </c>
      <c r="AB3">
        <v>173</v>
      </c>
      <c r="AC3">
        <v>23</v>
      </c>
      <c r="AD3" s="3">
        <v>0.95699999999999996</v>
      </c>
      <c r="AE3" s="3">
        <v>4.2999999999999997E-2</v>
      </c>
      <c r="AF3" s="3"/>
      <c r="AG3">
        <v>2</v>
      </c>
      <c r="AH3">
        <v>2</v>
      </c>
      <c r="AJ3">
        <v>0</v>
      </c>
      <c r="AK3">
        <v>0</v>
      </c>
    </row>
    <row r="4" spans="1:40" x14ac:dyDescent="0.35">
      <c r="A4" t="s">
        <v>26</v>
      </c>
      <c r="B4" t="s">
        <v>35</v>
      </c>
      <c r="C4" t="s">
        <v>150</v>
      </c>
      <c r="D4" s="1">
        <v>45992</v>
      </c>
      <c r="E4" t="s">
        <v>21</v>
      </c>
      <c r="H4">
        <v>55</v>
      </c>
      <c r="I4">
        <v>2</v>
      </c>
      <c r="J4">
        <v>4</v>
      </c>
      <c r="K4">
        <v>1</v>
      </c>
      <c r="L4">
        <v>3658</v>
      </c>
      <c r="O4" s="8" t="s">
        <v>24</v>
      </c>
      <c r="P4" t="s">
        <v>25</v>
      </c>
      <c r="AB4">
        <v>2009</v>
      </c>
      <c r="AC4">
        <v>62</v>
      </c>
    </row>
    <row r="5" spans="1:40" x14ac:dyDescent="0.35">
      <c r="A5" t="s">
        <v>27</v>
      </c>
      <c r="B5" t="s">
        <v>36</v>
      </c>
      <c r="C5" t="s">
        <v>150</v>
      </c>
      <c r="D5" t="s">
        <v>28</v>
      </c>
      <c r="E5" t="s">
        <v>20</v>
      </c>
      <c r="F5" s="2">
        <v>0.87708333333333333</v>
      </c>
      <c r="G5" s="2"/>
      <c r="H5">
        <v>81</v>
      </c>
      <c r="I5">
        <v>5</v>
      </c>
      <c r="J5">
        <v>5</v>
      </c>
      <c r="K5">
        <v>4</v>
      </c>
      <c r="L5">
        <v>1335</v>
      </c>
      <c r="O5" s="8"/>
      <c r="R5" s="4">
        <v>0.26</v>
      </c>
      <c r="S5" s="4">
        <v>0.74</v>
      </c>
      <c r="T5">
        <v>639</v>
      </c>
      <c r="Y5">
        <v>516</v>
      </c>
      <c r="Z5">
        <v>39</v>
      </c>
      <c r="AA5">
        <v>141</v>
      </c>
      <c r="AB5">
        <v>681</v>
      </c>
      <c r="AC5">
        <v>95</v>
      </c>
      <c r="AD5" s="3">
        <v>0.34599999999999997</v>
      </c>
      <c r="AE5" s="3">
        <v>0.65400000000000003</v>
      </c>
      <c r="AF5" s="3"/>
      <c r="AG5">
        <v>23</v>
      </c>
      <c r="AH5">
        <v>20</v>
      </c>
      <c r="AI5">
        <v>2</v>
      </c>
      <c r="AJ5">
        <v>1</v>
      </c>
      <c r="AK5" s="7">
        <f>AB5/AJ5/100</f>
        <v>6.81</v>
      </c>
    </row>
    <row r="6" spans="1:40" x14ac:dyDescent="0.35">
      <c r="A6" t="s">
        <v>31</v>
      </c>
      <c r="B6" t="s">
        <v>35</v>
      </c>
      <c r="C6" t="s">
        <v>150</v>
      </c>
      <c r="D6" t="s">
        <v>37</v>
      </c>
      <c r="E6" t="s">
        <v>18</v>
      </c>
      <c r="G6" s="5">
        <v>7.6388888888888886E-3</v>
      </c>
      <c r="H6">
        <v>17</v>
      </c>
      <c r="I6">
        <v>2</v>
      </c>
      <c r="J6">
        <v>0</v>
      </c>
      <c r="K6">
        <v>0</v>
      </c>
      <c r="L6">
        <v>619</v>
      </c>
      <c r="M6">
        <v>583</v>
      </c>
      <c r="N6">
        <v>36</v>
      </c>
      <c r="O6" s="8" t="s">
        <v>41</v>
      </c>
      <c r="P6" t="s">
        <v>42</v>
      </c>
      <c r="Q6" s="3">
        <v>0.60099999999999998</v>
      </c>
      <c r="R6" s="3">
        <v>0.48799999999999999</v>
      </c>
      <c r="S6" s="3">
        <v>0.51200000000000001</v>
      </c>
      <c r="AB6">
        <v>236</v>
      </c>
      <c r="AC6">
        <v>19</v>
      </c>
      <c r="AD6" s="4">
        <v>1</v>
      </c>
      <c r="AE6" s="4">
        <v>0</v>
      </c>
      <c r="AF6">
        <v>0</v>
      </c>
      <c r="AG6">
        <v>0</v>
      </c>
      <c r="AJ6">
        <v>0</v>
      </c>
      <c r="AK6">
        <v>0</v>
      </c>
    </row>
    <row r="7" spans="1:40" x14ac:dyDescent="0.35">
      <c r="A7" t="s">
        <v>45</v>
      </c>
      <c r="B7" t="s">
        <v>36</v>
      </c>
      <c r="C7" t="s">
        <v>152</v>
      </c>
      <c r="D7" s="1">
        <v>45779</v>
      </c>
      <c r="E7" t="s">
        <v>20</v>
      </c>
      <c r="F7" s="2">
        <v>0.85624999999999996</v>
      </c>
      <c r="H7">
        <v>28</v>
      </c>
      <c r="I7">
        <v>0</v>
      </c>
      <c r="J7">
        <v>0</v>
      </c>
      <c r="K7">
        <v>0</v>
      </c>
      <c r="L7">
        <v>388</v>
      </c>
      <c r="O7" s="8"/>
      <c r="R7" s="3">
        <v>0.56699999999999995</v>
      </c>
      <c r="S7" s="3">
        <v>0.433</v>
      </c>
      <c r="T7">
        <v>234</v>
      </c>
      <c r="Y7">
        <v>148</v>
      </c>
      <c r="Z7">
        <v>3</v>
      </c>
      <c r="AA7">
        <v>3</v>
      </c>
      <c r="AB7">
        <v>196</v>
      </c>
      <c r="AC7">
        <v>28</v>
      </c>
      <c r="AD7" s="3">
        <v>0.90300000000000002</v>
      </c>
      <c r="AE7" s="3">
        <v>9.7000000000000003E-2</v>
      </c>
      <c r="AG7">
        <v>3</v>
      </c>
      <c r="AH7">
        <v>3</v>
      </c>
      <c r="AJ7">
        <v>0</v>
      </c>
      <c r="AK7">
        <v>0</v>
      </c>
    </row>
    <row r="8" spans="1:40" x14ac:dyDescent="0.35">
      <c r="A8" t="s">
        <v>46</v>
      </c>
      <c r="B8" t="s">
        <v>35</v>
      </c>
      <c r="C8" t="s">
        <v>153</v>
      </c>
      <c r="D8" s="1">
        <v>45840</v>
      </c>
      <c r="E8" t="s">
        <v>18</v>
      </c>
      <c r="G8" s="5">
        <v>0.10069444444444445</v>
      </c>
      <c r="H8">
        <v>16</v>
      </c>
      <c r="I8">
        <v>0</v>
      </c>
      <c r="J8">
        <v>9</v>
      </c>
      <c r="K8">
        <v>0</v>
      </c>
      <c r="L8">
        <v>565</v>
      </c>
      <c r="O8" s="8" t="s">
        <v>47</v>
      </c>
      <c r="P8" t="s">
        <v>48</v>
      </c>
      <c r="Q8" s="3">
        <v>0.36699999999999999</v>
      </c>
      <c r="R8" s="3">
        <v>0.38100000000000001</v>
      </c>
      <c r="S8" s="3">
        <v>0.61899999999999999</v>
      </c>
      <c r="AB8">
        <v>333</v>
      </c>
      <c r="AC8">
        <v>25</v>
      </c>
      <c r="AD8" s="3">
        <v>0.92600000000000005</v>
      </c>
      <c r="AE8" s="3">
        <v>7.3999999999999996E-2</v>
      </c>
      <c r="AG8">
        <v>0</v>
      </c>
      <c r="AH8">
        <v>0</v>
      </c>
      <c r="AJ8">
        <v>0</v>
      </c>
      <c r="AK8">
        <v>0</v>
      </c>
    </row>
    <row r="9" spans="1:40" x14ac:dyDescent="0.35">
      <c r="A9" t="s">
        <v>49</v>
      </c>
      <c r="B9" t="s">
        <v>35</v>
      </c>
      <c r="C9" t="s">
        <v>154</v>
      </c>
      <c r="D9" t="s">
        <v>50</v>
      </c>
      <c r="E9" t="s">
        <v>51</v>
      </c>
      <c r="G9" s="5">
        <v>4.3055555555555555E-2</v>
      </c>
      <c r="H9">
        <v>15</v>
      </c>
      <c r="I9">
        <v>1</v>
      </c>
      <c r="J9">
        <v>2</v>
      </c>
      <c r="K9">
        <v>1</v>
      </c>
      <c r="L9">
        <v>480</v>
      </c>
      <c r="M9">
        <v>461</v>
      </c>
      <c r="N9">
        <v>19</v>
      </c>
      <c r="O9" s="8" t="s">
        <v>52</v>
      </c>
      <c r="P9" t="s">
        <v>53</v>
      </c>
      <c r="Q9" s="3">
        <v>0.40200000000000002</v>
      </c>
      <c r="R9" s="3">
        <v>0.33400000000000002</v>
      </c>
      <c r="S9" s="3">
        <v>0.66600000000000004</v>
      </c>
      <c r="AB9">
        <v>316</v>
      </c>
      <c r="AC9">
        <v>19</v>
      </c>
      <c r="AD9" s="4">
        <v>0.85</v>
      </c>
      <c r="AE9" s="4">
        <v>0.15</v>
      </c>
      <c r="AF9">
        <v>0</v>
      </c>
      <c r="AG9">
        <v>0</v>
      </c>
      <c r="AJ9">
        <v>0</v>
      </c>
      <c r="AK9">
        <v>0</v>
      </c>
    </row>
    <row r="10" spans="1:40" x14ac:dyDescent="0.35">
      <c r="A10" t="s">
        <v>54</v>
      </c>
      <c r="B10" t="s">
        <v>35</v>
      </c>
      <c r="C10" t="s">
        <v>155</v>
      </c>
      <c r="D10" t="s">
        <v>61</v>
      </c>
      <c r="E10" t="s">
        <v>55</v>
      </c>
      <c r="G10" s="5">
        <v>2.2222222222222223E-2</v>
      </c>
      <c r="H10">
        <v>13</v>
      </c>
      <c r="I10">
        <v>2</v>
      </c>
      <c r="J10">
        <v>0</v>
      </c>
      <c r="K10">
        <v>1</v>
      </c>
      <c r="L10">
        <v>633</v>
      </c>
      <c r="M10">
        <v>625</v>
      </c>
      <c r="N10">
        <v>8</v>
      </c>
      <c r="O10" s="8" t="s">
        <v>56</v>
      </c>
      <c r="P10" t="s">
        <v>53</v>
      </c>
      <c r="Q10" s="3">
        <v>0.47599999999999998</v>
      </c>
      <c r="R10" s="3">
        <v>0.33300000000000002</v>
      </c>
      <c r="S10" s="3">
        <v>0.66700000000000004</v>
      </c>
      <c r="AB10">
        <v>369</v>
      </c>
      <c r="AC10">
        <v>16</v>
      </c>
      <c r="AD10" s="3">
        <v>0.89500000000000002</v>
      </c>
      <c r="AE10" s="3">
        <v>0.105</v>
      </c>
      <c r="AF10">
        <v>0</v>
      </c>
      <c r="AG10">
        <v>0</v>
      </c>
      <c r="AJ10">
        <v>0</v>
      </c>
      <c r="AK10">
        <v>0</v>
      </c>
    </row>
    <row r="11" spans="1:40" x14ac:dyDescent="0.35">
      <c r="A11" t="s">
        <v>57</v>
      </c>
      <c r="B11" t="s">
        <v>36</v>
      </c>
      <c r="C11" t="s">
        <v>151</v>
      </c>
      <c r="D11" t="s">
        <v>62</v>
      </c>
      <c r="E11" t="s">
        <v>58</v>
      </c>
      <c r="F11" s="2">
        <v>0.71111111111111114</v>
      </c>
      <c r="H11">
        <v>27</v>
      </c>
      <c r="I11">
        <v>1</v>
      </c>
      <c r="J11">
        <v>0</v>
      </c>
      <c r="K11">
        <v>0</v>
      </c>
      <c r="L11">
        <v>365</v>
      </c>
      <c r="O11" s="8"/>
      <c r="R11" s="3">
        <v>0.55900000000000005</v>
      </c>
      <c r="S11" s="3">
        <v>0.441</v>
      </c>
      <c r="T11">
        <v>222</v>
      </c>
      <c r="Y11">
        <v>137</v>
      </c>
      <c r="AA11">
        <v>6</v>
      </c>
      <c r="AB11">
        <v>181</v>
      </c>
      <c r="AC11">
        <v>28</v>
      </c>
      <c r="AD11" s="4">
        <v>1</v>
      </c>
      <c r="AE11" s="4">
        <v>0</v>
      </c>
      <c r="AG11">
        <v>1</v>
      </c>
      <c r="AH11">
        <v>1</v>
      </c>
      <c r="AJ11">
        <v>0</v>
      </c>
      <c r="AK11">
        <v>0</v>
      </c>
    </row>
    <row r="12" spans="1:40" x14ac:dyDescent="0.35">
      <c r="A12" t="s">
        <v>59</v>
      </c>
      <c r="B12" t="s">
        <v>34</v>
      </c>
      <c r="C12" t="s">
        <v>150</v>
      </c>
      <c r="D12" t="s">
        <v>63</v>
      </c>
      <c r="E12" t="s">
        <v>51</v>
      </c>
      <c r="F12" s="2">
        <v>0.24444444444444444</v>
      </c>
      <c r="H12">
        <v>16</v>
      </c>
      <c r="I12">
        <v>2</v>
      </c>
      <c r="J12">
        <v>0</v>
      </c>
      <c r="K12">
        <v>0</v>
      </c>
      <c r="L12">
        <v>830</v>
      </c>
      <c r="O12" s="8"/>
      <c r="AB12">
        <v>375</v>
      </c>
      <c r="AC12">
        <v>18</v>
      </c>
    </row>
    <row r="13" spans="1:40" x14ac:dyDescent="0.35">
      <c r="A13" t="s">
        <v>64</v>
      </c>
      <c r="B13" t="s">
        <v>34</v>
      </c>
      <c r="C13" t="s">
        <v>152</v>
      </c>
      <c r="D13" s="1">
        <v>45660</v>
      </c>
      <c r="E13" t="s">
        <v>55</v>
      </c>
      <c r="F13" s="2">
        <v>0.92361111111111116</v>
      </c>
      <c r="H13">
        <v>18</v>
      </c>
      <c r="I13">
        <v>0</v>
      </c>
      <c r="J13">
        <v>0</v>
      </c>
      <c r="K13">
        <v>0</v>
      </c>
      <c r="L13">
        <v>295</v>
      </c>
      <c r="O13" s="8"/>
      <c r="R13" s="3">
        <v>0.55300000000000005</v>
      </c>
      <c r="S13" s="3">
        <v>0.44700000000000001</v>
      </c>
      <c r="T13">
        <v>180</v>
      </c>
      <c r="Y13">
        <v>92</v>
      </c>
      <c r="AA13">
        <v>23</v>
      </c>
      <c r="AB13">
        <v>147</v>
      </c>
      <c r="AC13">
        <v>18</v>
      </c>
      <c r="AD13" s="4">
        <v>1</v>
      </c>
      <c r="AE13" s="4">
        <v>0</v>
      </c>
      <c r="AG13">
        <v>0</v>
      </c>
      <c r="AH13">
        <v>0</v>
      </c>
      <c r="AJ13">
        <v>0</v>
      </c>
      <c r="AK13">
        <v>0</v>
      </c>
    </row>
    <row r="14" spans="1:40" x14ac:dyDescent="0.35">
      <c r="A14" t="s">
        <v>65</v>
      </c>
      <c r="B14" t="s">
        <v>35</v>
      </c>
      <c r="C14" t="s">
        <v>156</v>
      </c>
      <c r="D14" s="1">
        <v>45750</v>
      </c>
      <c r="E14" t="s">
        <v>66</v>
      </c>
      <c r="G14" s="5">
        <v>1.4583333333333334E-2</v>
      </c>
      <c r="H14">
        <v>16</v>
      </c>
      <c r="I14">
        <v>3</v>
      </c>
      <c r="J14">
        <v>1</v>
      </c>
      <c r="K14">
        <v>0</v>
      </c>
      <c r="L14">
        <v>693</v>
      </c>
      <c r="M14">
        <v>668</v>
      </c>
      <c r="N14">
        <v>25</v>
      </c>
      <c r="O14" s="8" t="s">
        <v>67</v>
      </c>
      <c r="R14" s="3">
        <v>0.38500000000000001</v>
      </c>
      <c r="S14" s="3">
        <v>0.61499999999999999</v>
      </c>
      <c r="AB14">
        <v>349</v>
      </c>
      <c r="AC14">
        <v>20</v>
      </c>
      <c r="AD14" s="4">
        <v>0.9</v>
      </c>
      <c r="AE14" s="4">
        <v>0.1</v>
      </c>
      <c r="AF14">
        <v>0</v>
      </c>
      <c r="AG14">
        <v>0</v>
      </c>
      <c r="AJ14">
        <v>0</v>
      </c>
      <c r="AK14">
        <v>0</v>
      </c>
    </row>
    <row r="15" spans="1:40" x14ac:dyDescent="0.35">
      <c r="A15" t="s">
        <v>68</v>
      </c>
      <c r="B15" t="s">
        <v>34</v>
      </c>
      <c r="C15" t="s">
        <v>152</v>
      </c>
      <c r="D15" s="1">
        <v>45780</v>
      </c>
      <c r="E15" t="s">
        <v>20</v>
      </c>
      <c r="F15" s="2">
        <v>0.64513888888888893</v>
      </c>
      <c r="H15">
        <v>17</v>
      </c>
      <c r="I15">
        <v>0</v>
      </c>
      <c r="J15">
        <v>1</v>
      </c>
      <c r="K15">
        <v>0</v>
      </c>
      <c r="L15">
        <v>447</v>
      </c>
      <c r="O15" s="8"/>
      <c r="R15" s="3">
        <v>0.41199999999999998</v>
      </c>
      <c r="S15" s="3">
        <v>0.58799999999999997</v>
      </c>
      <c r="T15">
        <v>246</v>
      </c>
      <c r="Y15">
        <v>147</v>
      </c>
      <c r="AA15">
        <v>54</v>
      </c>
      <c r="AB15">
        <v>238</v>
      </c>
      <c r="AC15">
        <v>18</v>
      </c>
      <c r="AD15" s="3">
        <v>0.83299999999999996</v>
      </c>
      <c r="AE15" s="3">
        <v>0.16700000000000001</v>
      </c>
      <c r="AG15">
        <v>2</v>
      </c>
      <c r="AH15">
        <v>2</v>
      </c>
      <c r="AJ15">
        <v>0</v>
      </c>
      <c r="AK15">
        <v>0</v>
      </c>
    </row>
    <row r="16" spans="1:40" x14ac:dyDescent="0.35">
      <c r="A16" t="s">
        <v>69</v>
      </c>
      <c r="B16" t="s">
        <v>36</v>
      </c>
      <c r="C16" t="s">
        <v>157</v>
      </c>
      <c r="D16" s="1">
        <v>45872</v>
      </c>
      <c r="E16" t="s">
        <v>55</v>
      </c>
      <c r="F16" s="2">
        <v>0.67361111111111116</v>
      </c>
      <c r="H16">
        <v>20</v>
      </c>
      <c r="I16">
        <v>0</v>
      </c>
      <c r="J16">
        <v>0</v>
      </c>
      <c r="K16">
        <v>0</v>
      </c>
      <c r="L16">
        <v>453</v>
      </c>
      <c r="O16" s="8"/>
      <c r="R16" s="3">
        <v>0.54700000000000004</v>
      </c>
      <c r="S16" s="3">
        <v>0.45300000000000001</v>
      </c>
      <c r="T16">
        <v>267</v>
      </c>
      <c r="Y16">
        <v>164</v>
      </c>
      <c r="AA16">
        <v>22</v>
      </c>
      <c r="AB16">
        <v>199</v>
      </c>
      <c r="AC16">
        <v>20</v>
      </c>
      <c r="AD16" s="3">
        <v>0.95199999999999996</v>
      </c>
      <c r="AE16" s="3">
        <v>4.8000000000000001E-2</v>
      </c>
      <c r="AG16">
        <v>5</v>
      </c>
      <c r="AH16">
        <v>5</v>
      </c>
      <c r="AJ16">
        <v>0</v>
      </c>
      <c r="AK16">
        <v>0</v>
      </c>
    </row>
    <row r="17" spans="1:40" x14ac:dyDescent="0.35">
      <c r="A17" t="s">
        <v>70</v>
      </c>
      <c r="B17" t="s">
        <v>36</v>
      </c>
      <c r="C17" t="s">
        <v>151</v>
      </c>
      <c r="D17" s="1">
        <v>45964</v>
      </c>
      <c r="E17" t="s">
        <v>66</v>
      </c>
      <c r="F17" s="2">
        <v>0.6333333333333333</v>
      </c>
      <c r="H17">
        <v>15</v>
      </c>
      <c r="I17">
        <v>1</v>
      </c>
      <c r="J17">
        <v>0</v>
      </c>
      <c r="K17">
        <v>0</v>
      </c>
      <c r="L17">
        <v>380</v>
      </c>
      <c r="O17" s="8"/>
      <c r="R17" s="3">
        <v>0.48699999999999999</v>
      </c>
      <c r="S17" s="3">
        <v>0.51300000000000001</v>
      </c>
      <c r="T17">
        <v>256</v>
      </c>
      <c r="Y17">
        <v>123</v>
      </c>
      <c r="AA17">
        <v>1</v>
      </c>
      <c r="AB17">
        <v>183</v>
      </c>
      <c r="AC17">
        <v>16</v>
      </c>
      <c r="AD17" s="4">
        <v>1</v>
      </c>
      <c r="AE17" s="4">
        <v>0</v>
      </c>
      <c r="AG17">
        <v>1</v>
      </c>
      <c r="AH17">
        <v>1</v>
      </c>
      <c r="AJ17">
        <v>0</v>
      </c>
      <c r="AK17">
        <v>0</v>
      </c>
    </row>
    <row r="18" spans="1:40" x14ac:dyDescent="0.35">
      <c r="A18" t="s">
        <v>71</v>
      </c>
      <c r="B18" t="s">
        <v>35</v>
      </c>
      <c r="C18" t="s">
        <v>156</v>
      </c>
      <c r="D18" t="s">
        <v>72</v>
      </c>
      <c r="E18" t="s">
        <v>51</v>
      </c>
      <c r="G18" s="5">
        <v>2.5000000000000001E-2</v>
      </c>
      <c r="H18">
        <v>12</v>
      </c>
      <c r="I18">
        <v>0</v>
      </c>
      <c r="J18">
        <v>1</v>
      </c>
      <c r="K18">
        <v>0</v>
      </c>
      <c r="L18">
        <v>577</v>
      </c>
      <c r="M18">
        <v>574</v>
      </c>
      <c r="N18">
        <v>3</v>
      </c>
      <c r="O18" s="8" t="s">
        <v>73</v>
      </c>
      <c r="P18" t="s">
        <v>25</v>
      </c>
      <c r="Q18" s="3">
        <v>0.39700000000000002</v>
      </c>
      <c r="R18" s="3">
        <v>0.313</v>
      </c>
      <c r="S18" s="3">
        <v>0.68700000000000006</v>
      </c>
      <c r="AB18">
        <v>349</v>
      </c>
      <c r="AC18">
        <v>13</v>
      </c>
      <c r="AD18" s="3">
        <v>0.86699999999999999</v>
      </c>
      <c r="AE18" s="3">
        <v>0.13300000000000001</v>
      </c>
      <c r="AF18">
        <v>0</v>
      </c>
      <c r="AG18">
        <v>0</v>
      </c>
      <c r="AJ18">
        <v>0</v>
      </c>
      <c r="AK18">
        <v>0</v>
      </c>
    </row>
    <row r="19" spans="1:40" x14ac:dyDescent="0.35">
      <c r="A19" t="s">
        <v>74</v>
      </c>
      <c r="B19" t="s">
        <v>34</v>
      </c>
      <c r="C19" t="s">
        <v>150</v>
      </c>
      <c r="D19" t="s">
        <v>97</v>
      </c>
      <c r="E19" t="s">
        <v>18</v>
      </c>
      <c r="F19" s="2">
        <v>0.22430555555555556</v>
      </c>
      <c r="H19">
        <v>18</v>
      </c>
      <c r="I19">
        <v>0</v>
      </c>
      <c r="J19">
        <v>0</v>
      </c>
      <c r="K19">
        <v>0</v>
      </c>
      <c r="L19">
        <v>932</v>
      </c>
      <c r="O19" s="8"/>
      <c r="AB19">
        <v>337</v>
      </c>
      <c r="AC19">
        <v>18</v>
      </c>
    </row>
    <row r="20" spans="1:40" x14ac:dyDescent="0.35">
      <c r="A20" t="s">
        <v>75</v>
      </c>
      <c r="B20" t="s">
        <v>35</v>
      </c>
      <c r="C20" t="s">
        <v>155</v>
      </c>
      <c r="D20" t="s">
        <v>98</v>
      </c>
      <c r="E20" t="s">
        <v>55</v>
      </c>
      <c r="G20" s="5">
        <v>1.8749999999999999E-2</v>
      </c>
      <c r="H20">
        <v>18</v>
      </c>
      <c r="I20">
        <v>0</v>
      </c>
      <c r="J20">
        <v>0</v>
      </c>
      <c r="K20">
        <v>0</v>
      </c>
      <c r="L20">
        <v>623</v>
      </c>
      <c r="M20">
        <v>622</v>
      </c>
      <c r="N20">
        <v>1</v>
      </c>
      <c r="O20" s="8" t="s">
        <v>76</v>
      </c>
      <c r="P20" t="s">
        <v>42</v>
      </c>
      <c r="Q20" s="3">
        <v>0.498</v>
      </c>
      <c r="R20" s="3">
        <v>0.32800000000000001</v>
      </c>
      <c r="S20" s="3">
        <v>0.67200000000000004</v>
      </c>
      <c r="AB20">
        <v>317</v>
      </c>
      <c r="AC20">
        <v>18</v>
      </c>
      <c r="AD20" s="3">
        <v>0.86399999999999999</v>
      </c>
      <c r="AE20" s="3">
        <v>0.13600000000000001</v>
      </c>
      <c r="AF20">
        <v>0</v>
      </c>
      <c r="AG20">
        <v>0</v>
      </c>
      <c r="AJ20">
        <v>0</v>
      </c>
    </row>
    <row r="21" spans="1:40" x14ac:dyDescent="0.35">
      <c r="A21" t="s">
        <v>77</v>
      </c>
      <c r="B21" t="s">
        <v>35</v>
      </c>
      <c r="C21" t="s">
        <v>154</v>
      </c>
      <c r="D21" s="10">
        <v>45873</v>
      </c>
      <c r="E21" t="s">
        <v>66</v>
      </c>
      <c r="G21" s="5">
        <v>4.3749999999999997E-2</v>
      </c>
      <c r="H21">
        <v>23</v>
      </c>
      <c r="I21">
        <v>0</v>
      </c>
      <c r="J21">
        <v>3</v>
      </c>
      <c r="K21">
        <v>0</v>
      </c>
      <c r="L21">
        <v>782</v>
      </c>
      <c r="M21">
        <v>777</v>
      </c>
      <c r="N21">
        <v>5</v>
      </c>
      <c r="O21" s="8" t="s">
        <v>78</v>
      </c>
      <c r="P21" t="s">
        <v>79</v>
      </c>
      <c r="Q21" s="3">
        <v>0.55900000000000005</v>
      </c>
      <c r="R21" s="3">
        <v>0.27500000000000002</v>
      </c>
      <c r="S21" s="3">
        <v>0.72499999999999998</v>
      </c>
      <c r="T21" s="3">
        <v>0.372</v>
      </c>
      <c r="U21" s="3">
        <v>0.23599999999999999</v>
      </c>
      <c r="V21" s="3">
        <v>0.19800000000000001</v>
      </c>
      <c r="W21" s="3">
        <v>5.0999999999999997E-2</v>
      </c>
      <c r="X21" s="3">
        <v>1E-3</v>
      </c>
      <c r="Z21" s="3">
        <v>0.13100000000000001</v>
      </c>
      <c r="AB21">
        <v>446</v>
      </c>
      <c r="AC21">
        <v>26</v>
      </c>
      <c r="AD21" s="3">
        <v>0.88900000000000001</v>
      </c>
      <c r="AE21" s="3">
        <v>0.111</v>
      </c>
      <c r="AF21">
        <v>0</v>
      </c>
      <c r="AG21">
        <v>0</v>
      </c>
      <c r="AJ21">
        <v>0</v>
      </c>
      <c r="AK21">
        <v>0</v>
      </c>
    </row>
    <row r="22" spans="1:40" ht="43.5" x14ac:dyDescent="0.35">
      <c r="A22" t="s">
        <v>80</v>
      </c>
      <c r="B22" t="s">
        <v>34</v>
      </c>
      <c r="C22" t="s">
        <v>157</v>
      </c>
      <c r="D22" s="8" t="s">
        <v>99</v>
      </c>
      <c r="E22" t="s">
        <v>21</v>
      </c>
      <c r="F22" s="2">
        <v>0.65</v>
      </c>
      <c r="H22">
        <v>7</v>
      </c>
      <c r="I22">
        <v>1</v>
      </c>
      <c r="J22">
        <v>0</v>
      </c>
      <c r="K22">
        <v>0</v>
      </c>
      <c r="L22">
        <v>330</v>
      </c>
      <c r="O22" s="8"/>
      <c r="R22" s="3">
        <v>0.52700000000000002</v>
      </c>
      <c r="S22" s="3">
        <v>0.47299999999999998</v>
      </c>
      <c r="T22" s="3">
        <v>0.66700000000000004</v>
      </c>
      <c r="U22" s="3"/>
      <c r="V22" s="3">
        <v>0.188</v>
      </c>
      <c r="W22" s="3">
        <v>0.115</v>
      </c>
      <c r="X22" s="3">
        <v>3.0000000000000001E-3</v>
      </c>
      <c r="AB22">
        <v>127</v>
      </c>
      <c r="AC22">
        <v>8</v>
      </c>
      <c r="AD22" s="3">
        <v>0.88900000000000001</v>
      </c>
      <c r="AE22" s="3">
        <v>0.111</v>
      </c>
      <c r="AG22">
        <v>0</v>
      </c>
      <c r="AJ22">
        <v>0</v>
      </c>
      <c r="AK22">
        <v>0</v>
      </c>
      <c r="AL22" s="3">
        <v>0.39800000000000002</v>
      </c>
      <c r="AM22" s="3">
        <v>0.60199999999999998</v>
      </c>
      <c r="AN22" s="9" t="s">
        <v>88</v>
      </c>
    </row>
    <row r="23" spans="1:40" ht="43.5" x14ac:dyDescent="0.35">
      <c r="A23" t="s">
        <v>89</v>
      </c>
      <c r="B23" t="s">
        <v>35</v>
      </c>
      <c r="C23" t="s">
        <v>155</v>
      </c>
      <c r="D23" s="8" t="s">
        <v>100</v>
      </c>
      <c r="E23" t="s">
        <v>18</v>
      </c>
      <c r="G23" s="5">
        <v>3.888888888888889E-2</v>
      </c>
      <c r="H23">
        <v>23</v>
      </c>
      <c r="I23">
        <v>8</v>
      </c>
      <c r="J23">
        <v>4</v>
      </c>
      <c r="K23">
        <v>0</v>
      </c>
      <c r="L23">
        <v>914</v>
      </c>
      <c r="O23" s="8" t="s">
        <v>90</v>
      </c>
      <c r="P23" t="s">
        <v>91</v>
      </c>
      <c r="Q23" s="3">
        <v>0.58799999999999997</v>
      </c>
      <c r="R23" s="3">
        <v>0.377</v>
      </c>
      <c r="S23" s="3">
        <v>0.623</v>
      </c>
      <c r="T23" s="3">
        <v>0.30399999999999999</v>
      </c>
      <c r="U23" s="3">
        <v>0.13700000000000001</v>
      </c>
      <c r="V23" s="3">
        <v>0.154</v>
      </c>
      <c r="W23" s="3">
        <v>0.22700000000000001</v>
      </c>
      <c r="X23" s="3">
        <v>1.6E-2</v>
      </c>
      <c r="Z23" s="3">
        <v>8.7999999999999995E-2</v>
      </c>
      <c r="AB23">
        <v>475</v>
      </c>
      <c r="AC23">
        <v>35</v>
      </c>
      <c r="AD23" s="3">
        <v>0.86499999999999999</v>
      </c>
      <c r="AE23" s="3">
        <v>0.13500000000000001</v>
      </c>
      <c r="AG23">
        <v>1</v>
      </c>
      <c r="AJ23">
        <v>1</v>
      </c>
      <c r="AL23" s="3">
        <v>0.40400000000000003</v>
      </c>
      <c r="AM23" s="3">
        <v>0.59599999999999997</v>
      </c>
      <c r="AN23" s="9" t="s">
        <v>88</v>
      </c>
    </row>
    <row r="24" spans="1:40" ht="43.5" x14ac:dyDescent="0.35">
      <c r="A24" t="s">
        <v>92</v>
      </c>
      <c r="B24" t="s">
        <v>36</v>
      </c>
      <c r="C24" t="s">
        <v>155</v>
      </c>
      <c r="D24" s="8" t="s">
        <v>101</v>
      </c>
      <c r="E24" t="s">
        <v>20</v>
      </c>
      <c r="F24" s="2">
        <v>0.74097222222222225</v>
      </c>
      <c r="H24">
        <v>13</v>
      </c>
      <c r="I24">
        <v>1</v>
      </c>
      <c r="J24">
        <v>3</v>
      </c>
      <c r="K24">
        <v>0</v>
      </c>
      <c r="L24">
        <v>464</v>
      </c>
      <c r="R24" s="4">
        <v>0.55000000000000004</v>
      </c>
      <c r="S24" s="4">
        <v>0.45</v>
      </c>
      <c r="T24" s="3">
        <v>0.55800000000000005</v>
      </c>
      <c r="U24" s="3">
        <v>6.0000000000000001E-3</v>
      </c>
      <c r="V24" s="3">
        <v>0.32100000000000001</v>
      </c>
      <c r="W24" s="3">
        <v>7.8E-2</v>
      </c>
      <c r="AB24">
        <v>170</v>
      </c>
      <c r="AC24">
        <v>17</v>
      </c>
      <c r="AD24" s="3">
        <v>0.88900000000000001</v>
      </c>
      <c r="AE24" s="3">
        <v>0.111</v>
      </c>
      <c r="AG24">
        <v>6</v>
      </c>
      <c r="AH24">
        <v>5</v>
      </c>
      <c r="AJ24">
        <v>1</v>
      </c>
      <c r="AK24">
        <f>AB24/AJ24/100</f>
        <v>1.7</v>
      </c>
      <c r="AL24" s="3">
        <v>0.48799999999999999</v>
      </c>
      <c r="AM24" s="3">
        <v>0.51200000000000001</v>
      </c>
      <c r="AN24" s="9" t="s">
        <v>88</v>
      </c>
    </row>
    <row r="25" spans="1:40" ht="43.5" x14ac:dyDescent="0.35">
      <c r="A25" t="s">
        <v>94</v>
      </c>
      <c r="B25" t="s">
        <v>36</v>
      </c>
      <c r="C25" t="s">
        <v>151</v>
      </c>
      <c r="D25" s="8" t="s">
        <v>102</v>
      </c>
      <c r="E25" t="s">
        <v>58</v>
      </c>
      <c r="F25" s="2">
        <v>0.7944444444444444</v>
      </c>
      <c r="H25">
        <v>18</v>
      </c>
      <c r="I25">
        <v>1</v>
      </c>
      <c r="J25">
        <v>0</v>
      </c>
      <c r="K25">
        <v>0</v>
      </c>
      <c r="L25">
        <v>388</v>
      </c>
      <c r="R25" s="3">
        <v>0.64200000000000002</v>
      </c>
      <c r="S25" s="3">
        <v>0.35799999999999998</v>
      </c>
      <c r="T25" s="3">
        <v>0.56699999999999995</v>
      </c>
      <c r="V25" s="3">
        <v>0.28899999999999998</v>
      </c>
      <c r="W25" s="3">
        <v>0.113</v>
      </c>
      <c r="AB25">
        <v>141</v>
      </c>
      <c r="AC25">
        <v>19</v>
      </c>
      <c r="AD25" s="4">
        <v>1</v>
      </c>
      <c r="AE25" s="4">
        <v>0</v>
      </c>
      <c r="AG25">
        <v>3</v>
      </c>
      <c r="AH25">
        <v>3</v>
      </c>
      <c r="AJ25">
        <v>0</v>
      </c>
      <c r="AL25" s="3">
        <v>0.53600000000000003</v>
      </c>
      <c r="AM25" s="3">
        <v>0.46400000000000002</v>
      </c>
      <c r="AN25" s="9" t="s">
        <v>88</v>
      </c>
    </row>
    <row r="26" spans="1:40" ht="43.5" x14ac:dyDescent="0.35">
      <c r="A26" t="s">
        <v>95</v>
      </c>
      <c r="B26" t="s">
        <v>36</v>
      </c>
      <c r="C26" t="s">
        <v>150</v>
      </c>
      <c r="D26" s="1">
        <v>45695</v>
      </c>
      <c r="E26" t="s">
        <v>20</v>
      </c>
      <c r="F26" s="2">
        <v>0.71458333333333335</v>
      </c>
      <c r="H26">
        <v>19</v>
      </c>
      <c r="I26">
        <v>0</v>
      </c>
      <c r="J26">
        <v>0</v>
      </c>
      <c r="K26">
        <v>0</v>
      </c>
      <c r="L26">
        <v>394</v>
      </c>
      <c r="R26" s="3">
        <v>0.61399999999999999</v>
      </c>
      <c r="S26" s="3">
        <v>0.38600000000000001</v>
      </c>
      <c r="T26" s="3">
        <v>0.60699999999999998</v>
      </c>
      <c r="V26" s="3">
        <v>0.24399999999999999</v>
      </c>
      <c r="W26" s="3">
        <v>0.124</v>
      </c>
      <c r="AB26">
        <v>135</v>
      </c>
      <c r="AC26">
        <v>19</v>
      </c>
      <c r="AD26" s="3">
        <v>0.84199999999999997</v>
      </c>
      <c r="AE26" s="3">
        <v>0.158</v>
      </c>
      <c r="AG26">
        <v>1</v>
      </c>
      <c r="AH26">
        <v>1</v>
      </c>
      <c r="AJ26">
        <v>0</v>
      </c>
      <c r="AL26" s="3">
        <v>0.46700000000000003</v>
      </c>
      <c r="AM26" s="3">
        <v>0.53300000000000003</v>
      </c>
      <c r="AN26" s="9" t="s">
        <v>88</v>
      </c>
    </row>
    <row r="27" spans="1:40" x14ac:dyDescent="0.35">
      <c r="A27" t="s">
        <v>96</v>
      </c>
      <c r="B27" t="s">
        <v>35</v>
      </c>
      <c r="C27" t="s">
        <v>150</v>
      </c>
      <c r="D27" s="1">
        <v>45937</v>
      </c>
      <c r="E27" t="s">
        <v>51</v>
      </c>
      <c r="G27" s="5">
        <v>0.11180555555555556</v>
      </c>
      <c r="H27">
        <v>103</v>
      </c>
      <c r="I27">
        <v>8</v>
      </c>
      <c r="J27">
        <v>3</v>
      </c>
      <c r="K27">
        <v>1</v>
      </c>
      <c r="L27" s="11">
        <v>11206</v>
      </c>
      <c r="M27">
        <v>2576</v>
      </c>
      <c r="N27">
        <v>8630</v>
      </c>
      <c r="O27" s="8" t="s">
        <v>103</v>
      </c>
      <c r="AB27">
        <v>1567</v>
      </c>
      <c r="AC27">
        <v>61</v>
      </c>
      <c r="AF27">
        <v>48</v>
      </c>
    </row>
    <row r="28" spans="1:40" ht="43.5" x14ac:dyDescent="0.35">
      <c r="A28" t="s">
        <v>104</v>
      </c>
      <c r="B28" t="s">
        <v>36</v>
      </c>
      <c r="C28" t="s">
        <v>150</v>
      </c>
      <c r="D28" s="1">
        <v>45968</v>
      </c>
      <c r="E28" t="s">
        <v>18</v>
      </c>
      <c r="F28" s="2">
        <v>0.58333333333333337</v>
      </c>
      <c r="H28">
        <v>21</v>
      </c>
      <c r="I28">
        <v>0</v>
      </c>
      <c r="J28">
        <v>0</v>
      </c>
      <c r="K28">
        <v>0</v>
      </c>
      <c r="L28">
        <v>601</v>
      </c>
      <c r="R28" s="3">
        <v>0.44800000000000001</v>
      </c>
      <c r="S28" s="3">
        <v>0.55200000000000005</v>
      </c>
      <c r="T28" s="3">
        <v>0.60599999999999998</v>
      </c>
      <c r="V28" s="4">
        <v>0.3</v>
      </c>
      <c r="W28" s="3">
        <v>7.1999999999999995E-2</v>
      </c>
      <c r="AB28">
        <v>164</v>
      </c>
      <c r="AC28">
        <v>21</v>
      </c>
      <c r="AD28" s="3">
        <v>0.78300000000000003</v>
      </c>
      <c r="AE28" s="3">
        <v>0.217</v>
      </c>
      <c r="AG28">
        <v>2</v>
      </c>
      <c r="AH28">
        <v>2</v>
      </c>
      <c r="AJ28">
        <v>0</v>
      </c>
      <c r="AL28" s="3">
        <v>0.47499999999999998</v>
      </c>
      <c r="AM28" s="3">
        <v>0.52500000000000002</v>
      </c>
      <c r="AN28" s="12" t="s">
        <v>88</v>
      </c>
    </row>
    <row r="29" spans="1:40" ht="43.5" x14ac:dyDescent="0.35">
      <c r="A29" t="s">
        <v>108</v>
      </c>
      <c r="B29" t="s">
        <v>35</v>
      </c>
      <c r="C29" t="s">
        <v>150</v>
      </c>
      <c r="D29" t="s">
        <v>105</v>
      </c>
      <c r="E29" t="s">
        <v>58</v>
      </c>
      <c r="G29" s="5">
        <v>3.2638888888888891E-2</v>
      </c>
      <c r="H29">
        <v>17</v>
      </c>
      <c r="I29">
        <v>0</v>
      </c>
      <c r="J29">
        <v>2</v>
      </c>
      <c r="K29">
        <v>0</v>
      </c>
      <c r="L29">
        <v>571</v>
      </c>
      <c r="O29" s="8" t="s">
        <v>106</v>
      </c>
      <c r="P29" s="8" t="s">
        <v>107</v>
      </c>
      <c r="Q29" s="4">
        <v>0.3</v>
      </c>
      <c r="R29" s="3">
        <v>0.32200000000000001</v>
      </c>
      <c r="S29" s="3">
        <v>0.67800000000000005</v>
      </c>
      <c r="T29" s="3">
        <v>0.27500000000000002</v>
      </c>
      <c r="U29" s="3">
        <v>0.191</v>
      </c>
      <c r="V29" s="3">
        <v>0.128</v>
      </c>
      <c r="W29" s="3">
        <v>0.29099999999999998</v>
      </c>
      <c r="Z29" s="3">
        <v>7.6999999999999999E-2</v>
      </c>
      <c r="AB29">
        <v>366</v>
      </c>
      <c r="AC29">
        <v>19</v>
      </c>
      <c r="AD29" s="3">
        <v>0.89500000000000002</v>
      </c>
      <c r="AE29" s="3">
        <v>0.105</v>
      </c>
      <c r="AG29">
        <v>2</v>
      </c>
      <c r="AJ29">
        <v>2</v>
      </c>
      <c r="AK29">
        <f>AB29/AJ29/100</f>
        <v>1.83</v>
      </c>
      <c r="AL29" s="3">
        <v>0.626</v>
      </c>
      <c r="AM29" s="3">
        <v>0.374</v>
      </c>
      <c r="AN29" s="12" t="s">
        <v>88</v>
      </c>
    </row>
    <row r="30" spans="1:40" x14ac:dyDescent="0.35">
      <c r="A30" t="s">
        <v>109</v>
      </c>
      <c r="B30" t="s">
        <v>34</v>
      </c>
      <c r="C30" t="s">
        <v>158</v>
      </c>
      <c r="D30" t="s">
        <v>110</v>
      </c>
      <c r="E30" t="s">
        <v>20</v>
      </c>
      <c r="F30" s="2">
        <v>0.96180555555555558</v>
      </c>
      <c r="H30">
        <v>10</v>
      </c>
      <c r="I30">
        <v>0</v>
      </c>
      <c r="J30">
        <v>0</v>
      </c>
      <c r="K30">
        <v>0</v>
      </c>
      <c r="L30">
        <v>460</v>
      </c>
      <c r="R30" s="3">
        <v>0.59299999999999997</v>
      </c>
      <c r="S30" s="3">
        <v>0.40699999999999997</v>
      </c>
      <c r="T30" s="3">
        <v>0.63900000000000001</v>
      </c>
      <c r="U30" s="3">
        <v>2E-3</v>
      </c>
      <c r="V30" s="3">
        <v>0.14799999999999999</v>
      </c>
      <c r="W30" s="3">
        <v>0.191</v>
      </c>
      <c r="X30" s="3">
        <v>2E-3</v>
      </c>
      <c r="AB30">
        <v>97</v>
      </c>
      <c r="AC30">
        <v>10</v>
      </c>
      <c r="AD30" s="4">
        <v>1</v>
      </c>
      <c r="AE30" s="4">
        <v>0</v>
      </c>
      <c r="AG30">
        <v>6</v>
      </c>
      <c r="AH30">
        <v>6</v>
      </c>
      <c r="AJ30">
        <v>0</v>
      </c>
    </row>
    <row r="31" spans="1:40" ht="43.5" x14ac:dyDescent="0.35">
      <c r="A31" t="s">
        <v>111</v>
      </c>
      <c r="B31" t="s">
        <v>35</v>
      </c>
      <c r="C31" t="s">
        <v>155</v>
      </c>
      <c r="D31" s="1">
        <v>45665</v>
      </c>
      <c r="E31" t="s">
        <v>18</v>
      </c>
      <c r="G31" s="5">
        <v>5.6944444444444443E-2</v>
      </c>
      <c r="H31">
        <v>26</v>
      </c>
      <c r="I31">
        <v>6</v>
      </c>
      <c r="J31">
        <v>5</v>
      </c>
      <c r="K31">
        <v>1</v>
      </c>
      <c r="L31">
        <v>1144</v>
      </c>
      <c r="M31">
        <v>1144</v>
      </c>
      <c r="N31">
        <v>0</v>
      </c>
      <c r="O31" s="8" t="s">
        <v>112</v>
      </c>
      <c r="P31" s="8" t="s">
        <v>113</v>
      </c>
      <c r="Q31" s="3">
        <v>0.48099999999999998</v>
      </c>
      <c r="R31" s="4">
        <v>0.34</v>
      </c>
      <c r="S31" s="4">
        <v>0.66</v>
      </c>
      <c r="T31" s="3">
        <v>0.20499999999999999</v>
      </c>
      <c r="U31" s="3">
        <v>0.16700000000000001</v>
      </c>
      <c r="V31" s="3">
        <v>0.126</v>
      </c>
      <c r="W31" s="3">
        <v>0.39700000000000002</v>
      </c>
      <c r="Z31" s="3">
        <v>7.8E-2</v>
      </c>
      <c r="AB31">
        <v>650</v>
      </c>
      <c r="AC31">
        <v>38</v>
      </c>
      <c r="AD31" s="3">
        <v>0.76200000000000001</v>
      </c>
      <c r="AE31" s="3">
        <v>0.23799999999999999</v>
      </c>
      <c r="AF31">
        <v>0</v>
      </c>
      <c r="AG31">
        <v>0</v>
      </c>
      <c r="AJ31">
        <v>0</v>
      </c>
      <c r="AL31" s="3">
        <v>0.499</v>
      </c>
      <c r="AM31" s="3">
        <v>0.501</v>
      </c>
      <c r="AN31" s="12" t="s">
        <v>88</v>
      </c>
    </row>
    <row r="32" spans="1:40" ht="43.5" x14ac:dyDescent="0.35">
      <c r="A32" t="s">
        <v>114</v>
      </c>
      <c r="B32" t="s">
        <v>35</v>
      </c>
      <c r="C32" t="s">
        <v>151</v>
      </c>
      <c r="D32" s="1">
        <v>45755</v>
      </c>
      <c r="E32" t="s">
        <v>58</v>
      </c>
      <c r="G32" s="5">
        <v>1.1805555555555555E-2</v>
      </c>
      <c r="H32">
        <v>14</v>
      </c>
      <c r="I32">
        <v>0</v>
      </c>
      <c r="J32">
        <v>0</v>
      </c>
      <c r="K32">
        <v>0</v>
      </c>
      <c r="L32">
        <v>561</v>
      </c>
      <c r="M32">
        <v>553</v>
      </c>
      <c r="N32">
        <v>8</v>
      </c>
      <c r="O32" s="8" t="s">
        <v>115</v>
      </c>
      <c r="P32" s="8" t="s">
        <v>107</v>
      </c>
      <c r="Q32" s="3">
        <v>0.373</v>
      </c>
      <c r="R32" s="3">
        <v>0.28599999999999998</v>
      </c>
      <c r="S32" s="3">
        <v>0.71399999999999997</v>
      </c>
      <c r="T32" s="3">
        <v>0.32400000000000001</v>
      </c>
      <c r="U32" s="3">
        <v>0.24399999999999999</v>
      </c>
      <c r="V32" s="3">
        <v>0.221</v>
      </c>
      <c r="W32" s="3">
        <v>8.2000000000000003E-2</v>
      </c>
      <c r="Z32" s="3">
        <v>0.11600000000000001</v>
      </c>
      <c r="AB32">
        <v>299</v>
      </c>
      <c r="AC32">
        <v>14</v>
      </c>
      <c r="AD32" s="3">
        <v>0.93300000000000005</v>
      </c>
      <c r="AE32" s="3">
        <v>6.7000000000000004E-2</v>
      </c>
      <c r="AF32">
        <v>0</v>
      </c>
      <c r="AG32">
        <v>0</v>
      </c>
      <c r="AJ32">
        <v>0</v>
      </c>
      <c r="AL32" s="3">
        <v>0.39800000000000002</v>
      </c>
      <c r="AM32" s="3">
        <v>0.60199999999999998</v>
      </c>
      <c r="AN32" s="12" t="s">
        <v>88</v>
      </c>
    </row>
    <row r="33" spans="1:40" ht="43.5" x14ac:dyDescent="0.35">
      <c r="A33" t="s">
        <v>116</v>
      </c>
      <c r="B33" t="s">
        <v>35</v>
      </c>
      <c r="C33" t="s">
        <v>159</v>
      </c>
      <c r="D33" s="1">
        <v>45785</v>
      </c>
      <c r="E33" t="s">
        <v>66</v>
      </c>
      <c r="G33" s="5">
        <v>9.0277777777777769E-3</v>
      </c>
      <c r="H33">
        <v>51</v>
      </c>
      <c r="I33">
        <v>7</v>
      </c>
      <c r="J33">
        <v>17</v>
      </c>
      <c r="K33">
        <v>6</v>
      </c>
      <c r="L33">
        <v>2743</v>
      </c>
      <c r="O33" s="8" t="s">
        <v>117</v>
      </c>
      <c r="P33" s="8" t="s">
        <v>107</v>
      </c>
      <c r="Q33" s="3">
        <v>0.53700000000000003</v>
      </c>
      <c r="R33" s="3">
        <v>9.5000000000000001E-2</v>
      </c>
      <c r="S33" s="3">
        <v>0.90500000000000003</v>
      </c>
      <c r="T33" s="3">
        <v>7.0999999999999994E-2</v>
      </c>
      <c r="U33" s="3">
        <v>0.56899999999999995</v>
      </c>
      <c r="V33" s="3">
        <v>5.5E-2</v>
      </c>
      <c r="W33" s="3">
        <v>6.6000000000000003E-2</v>
      </c>
      <c r="Z33" s="3">
        <v>0.221</v>
      </c>
      <c r="AB33">
        <v>2011</v>
      </c>
      <c r="AC33">
        <v>81</v>
      </c>
      <c r="AD33" s="3">
        <v>0.41699999999999998</v>
      </c>
      <c r="AE33" s="3">
        <v>0.58299999999999996</v>
      </c>
      <c r="AG33">
        <v>1</v>
      </c>
      <c r="AJ33">
        <v>1</v>
      </c>
      <c r="AL33" s="3">
        <v>0.71699999999999997</v>
      </c>
      <c r="AM33" s="3">
        <v>0.28299999999999997</v>
      </c>
      <c r="AN33" s="12" t="s">
        <v>88</v>
      </c>
    </row>
    <row r="34" spans="1:40" ht="43.5" x14ac:dyDescent="0.35">
      <c r="A34" t="s">
        <v>118</v>
      </c>
      <c r="B34" t="s">
        <v>35</v>
      </c>
      <c r="C34" t="s">
        <v>159</v>
      </c>
      <c r="D34" s="1">
        <v>45877</v>
      </c>
      <c r="E34" t="s">
        <v>18</v>
      </c>
      <c r="G34" s="5">
        <v>1.0416666666666666E-2</v>
      </c>
      <c r="H34">
        <v>26</v>
      </c>
      <c r="I34">
        <v>11</v>
      </c>
      <c r="J34">
        <v>14</v>
      </c>
      <c r="K34">
        <v>3</v>
      </c>
      <c r="L34">
        <v>1245</v>
      </c>
      <c r="O34" s="8" t="s">
        <v>128</v>
      </c>
      <c r="P34" s="8" t="s">
        <v>53</v>
      </c>
      <c r="Q34" s="3">
        <v>0.38700000000000001</v>
      </c>
      <c r="R34" s="3">
        <v>0.29099999999999998</v>
      </c>
      <c r="S34" s="3">
        <v>0.70899999999999996</v>
      </c>
      <c r="T34" s="3">
        <v>0.17799999999999999</v>
      </c>
      <c r="U34" s="3">
        <v>0.255</v>
      </c>
      <c r="V34" s="3">
        <v>0.12</v>
      </c>
      <c r="W34" s="4">
        <v>0.27900000000000003</v>
      </c>
      <c r="X34" s="3">
        <v>2E-3</v>
      </c>
      <c r="Z34" s="3">
        <v>0.113</v>
      </c>
      <c r="AB34">
        <v>721</v>
      </c>
      <c r="AC34">
        <v>54</v>
      </c>
      <c r="AD34" s="3">
        <v>0.68400000000000005</v>
      </c>
      <c r="AE34" s="3">
        <v>0.316</v>
      </c>
      <c r="AG34">
        <v>0</v>
      </c>
      <c r="AJ34">
        <v>0</v>
      </c>
      <c r="AL34" s="3">
        <v>0.45800000000000002</v>
      </c>
      <c r="AM34" s="3">
        <v>0.54200000000000004</v>
      </c>
      <c r="AN34" s="9" t="s">
        <v>88</v>
      </c>
    </row>
    <row r="35" spans="1:40" ht="43.5" x14ac:dyDescent="0.35">
      <c r="A35" t="s">
        <v>119</v>
      </c>
      <c r="B35" t="s">
        <v>35</v>
      </c>
      <c r="C35" t="s">
        <v>151</v>
      </c>
      <c r="D35" s="1">
        <v>45969</v>
      </c>
      <c r="E35" t="s">
        <v>58</v>
      </c>
      <c r="G35" s="5">
        <v>9.7222222222222224E-3</v>
      </c>
      <c r="H35">
        <v>27</v>
      </c>
      <c r="I35">
        <v>4</v>
      </c>
      <c r="J35">
        <v>1</v>
      </c>
      <c r="K35">
        <v>1</v>
      </c>
      <c r="L35">
        <v>886</v>
      </c>
      <c r="M35">
        <v>885</v>
      </c>
      <c r="N35">
        <v>1</v>
      </c>
      <c r="O35" s="8" t="s">
        <v>127</v>
      </c>
      <c r="P35" s="8" t="s">
        <v>25</v>
      </c>
      <c r="Q35" s="3">
        <v>0.51100000000000001</v>
      </c>
      <c r="R35" s="3">
        <v>0.23</v>
      </c>
      <c r="S35" s="3">
        <v>0.77</v>
      </c>
      <c r="T35" s="3">
        <v>0.27100000000000002</v>
      </c>
      <c r="U35" s="3">
        <v>0.27400000000000002</v>
      </c>
      <c r="V35" s="3">
        <v>0.20499999999999999</v>
      </c>
      <c r="W35" s="3">
        <v>5.8000000000000003E-2</v>
      </c>
      <c r="X35" s="3">
        <v>1E-3</v>
      </c>
      <c r="Z35" s="3">
        <v>0.17699999999999999</v>
      </c>
      <c r="AB35">
        <v>485</v>
      </c>
      <c r="AC35">
        <v>33</v>
      </c>
      <c r="AD35" s="3">
        <v>0.66700000000000004</v>
      </c>
      <c r="AE35" s="3">
        <v>0.33300000000000002</v>
      </c>
      <c r="AF35">
        <v>0</v>
      </c>
      <c r="AG35">
        <v>2</v>
      </c>
      <c r="AJ35">
        <v>2</v>
      </c>
      <c r="AK35">
        <f>AB35/AJ35/100</f>
        <v>2.4249999999999998</v>
      </c>
      <c r="AL35" s="3">
        <v>0.35699999999999998</v>
      </c>
      <c r="AM35" s="3">
        <v>0.64300000000000002</v>
      </c>
      <c r="AN35" s="9" t="s">
        <v>88</v>
      </c>
    </row>
    <row r="36" spans="1:40" ht="43.5" x14ac:dyDescent="0.35">
      <c r="A36" t="s">
        <v>120</v>
      </c>
      <c r="B36" t="s">
        <v>35</v>
      </c>
      <c r="C36" t="s">
        <v>159</v>
      </c>
      <c r="D36" s="1">
        <v>45999</v>
      </c>
      <c r="E36" t="s">
        <v>66</v>
      </c>
      <c r="G36" s="5">
        <v>9.7222222222222224E-3</v>
      </c>
      <c r="H36">
        <v>28</v>
      </c>
      <c r="I36">
        <v>6</v>
      </c>
      <c r="J36">
        <v>6</v>
      </c>
      <c r="K36">
        <v>2</v>
      </c>
      <c r="L36">
        <v>1860</v>
      </c>
      <c r="M36">
        <v>1859</v>
      </c>
      <c r="N36">
        <v>1</v>
      </c>
      <c r="O36" s="8" t="s">
        <v>129</v>
      </c>
      <c r="P36" s="8" t="s">
        <v>53</v>
      </c>
      <c r="Q36" s="3">
        <v>0.60899999999999999</v>
      </c>
      <c r="R36" s="3">
        <v>0.221</v>
      </c>
      <c r="S36" s="3">
        <v>0.77900000000000003</v>
      </c>
      <c r="T36" s="3">
        <v>0.111</v>
      </c>
      <c r="U36" s="4">
        <v>0.33900000000000002</v>
      </c>
      <c r="V36" s="3">
        <v>7.2999999999999995E-2</v>
      </c>
      <c r="W36" s="3">
        <v>0.28599999999999998</v>
      </c>
      <c r="Z36" s="3">
        <v>0.155</v>
      </c>
      <c r="AB36">
        <v>1115</v>
      </c>
      <c r="AC36">
        <v>42</v>
      </c>
      <c r="AD36" s="3">
        <v>0.65100000000000002</v>
      </c>
      <c r="AE36" s="3">
        <v>0.34899999999999998</v>
      </c>
      <c r="AF36">
        <v>0</v>
      </c>
      <c r="AG36">
        <v>0</v>
      </c>
      <c r="AJ36">
        <v>0</v>
      </c>
      <c r="AL36" s="4">
        <v>0.36899999999999999</v>
      </c>
      <c r="AM36" s="4">
        <v>0.63100000000000001</v>
      </c>
      <c r="AN36" s="9" t="s">
        <v>88</v>
      </c>
    </row>
    <row r="37" spans="1:40" ht="43.5" x14ac:dyDescent="0.35">
      <c r="A37" t="s">
        <v>121</v>
      </c>
      <c r="B37" t="s">
        <v>35</v>
      </c>
      <c r="C37" t="s">
        <v>152</v>
      </c>
      <c r="D37" t="s">
        <v>122</v>
      </c>
      <c r="E37" t="s">
        <v>51</v>
      </c>
      <c r="G37" s="5">
        <v>2.8472222222222222E-2</v>
      </c>
      <c r="H37">
        <v>25</v>
      </c>
      <c r="I37">
        <v>3</v>
      </c>
      <c r="J37">
        <v>2</v>
      </c>
      <c r="K37">
        <v>3</v>
      </c>
      <c r="L37">
        <v>775</v>
      </c>
      <c r="M37">
        <v>772</v>
      </c>
      <c r="N37">
        <v>3</v>
      </c>
      <c r="O37" s="8" t="s">
        <v>130</v>
      </c>
      <c r="P37" s="8" t="s">
        <v>48</v>
      </c>
      <c r="Q37" s="3">
        <v>0.502</v>
      </c>
      <c r="R37" s="3">
        <v>0.20399999999999999</v>
      </c>
      <c r="S37" s="3">
        <v>0.79600000000000004</v>
      </c>
      <c r="T37" s="3">
        <v>0.224</v>
      </c>
      <c r="U37" s="3">
        <v>0.28999999999999998</v>
      </c>
      <c r="V37" s="3">
        <v>0.221</v>
      </c>
      <c r="W37" s="3">
        <v>4.8000000000000001E-2</v>
      </c>
      <c r="Z37" s="3">
        <v>0.20399999999999999</v>
      </c>
      <c r="AB37">
        <v>469</v>
      </c>
      <c r="AC37">
        <v>33</v>
      </c>
      <c r="AD37" s="3">
        <v>0.57099999999999995</v>
      </c>
      <c r="AE37" s="3">
        <v>0.42899999999999999</v>
      </c>
      <c r="AF37">
        <v>0</v>
      </c>
      <c r="AG37">
        <v>1</v>
      </c>
      <c r="AJ37">
        <v>1</v>
      </c>
      <c r="AK37">
        <f>AB37/AJ37/100</f>
        <v>4.6900000000000004</v>
      </c>
      <c r="AL37" s="3">
        <v>0.34</v>
      </c>
      <c r="AM37" s="3">
        <v>0.66</v>
      </c>
      <c r="AN37" s="9" t="s">
        <v>88</v>
      </c>
    </row>
    <row r="38" spans="1:40" ht="43.5" x14ac:dyDescent="0.35">
      <c r="A38" t="s">
        <v>123</v>
      </c>
      <c r="B38" t="s">
        <v>36</v>
      </c>
      <c r="C38" t="s">
        <v>151</v>
      </c>
      <c r="D38" t="s">
        <v>124</v>
      </c>
      <c r="E38" t="s">
        <v>18</v>
      </c>
      <c r="F38" s="2">
        <v>0.7583333333333333</v>
      </c>
      <c r="H38">
        <v>32</v>
      </c>
      <c r="I38">
        <v>4</v>
      </c>
      <c r="J38">
        <v>0</v>
      </c>
      <c r="K38">
        <v>2</v>
      </c>
      <c r="L38">
        <v>1005</v>
      </c>
      <c r="R38" s="3">
        <v>0.46700000000000003</v>
      </c>
      <c r="S38" s="3">
        <v>0.53300000000000003</v>
      </c>
      <c r="T38" s="4">
        <v>0.59799999999999998</v>
      </c>
      <c r="V38" s="3">
        <v>0.33500000000000002</v>
      </c>
      <c r="W38" s="3">
        <v>5.5E-2</v>
      </c>
      <c r="AB38">
        <v>147</v>
      </c>
      <c r="AC38">
        <v>38</v>
      </c>
      <c r="AD38" s="3">
        <v>0.625</v>
      </c>
      <c r="AE38" s="3">
        <v>0.375</v>
      </c>
      <c r="AG38">
        <v>6</v>
      </c>
      <c r="AH38">
        <v>6</v>
      </c>
      <c r="AJ38">
        <v>0</v>
      </c>
      <c r="AL38" s="3">
        <v>0.38200000000000001</v>
      </c>
      <c r="AM38" s="3">
        <v>0.61799999999999999</v>
      </c>
      <c r="AN38" s="9" t="s">
        <v>88</v>
      </c>
    </row>
    <row r="39" spans="1:40" ht="43.5" x14ac:dyDescent="0.35">
      <c r="A39" t="s">
        <v>126</v>
      </c>
      <c r="B39" t="s">
        <v>35</v>
      </c>
      <c r="C39" t="s">
        <v>159</v>
      </c>
      <c r="D39" t="s">
        <v>125</v>
      </c>
      <c r="E39" t="s">
        <v>66</v>
      </c>
      <c r="G39" s="5">
        <v>4.1666666666666666E-3</v>
      </c>
      <c r="H39">
        <v>32</v>
      </c>
      <c r="I39">
        <v>7</v>
      </c>
      <c r="J39">
        <v>16</v>
      </c>
      <c r="K39">
        <v>3</v>
      </c>
      <c r="L39">
        <v>1577</v>
      </c>
      <c r="M39">
        <v>1574</v>
      </c>
      <c r="N39">
        <v>3</v>
      </c>
      <c r="O39" s="8" t="s">
        <v>131</v>
      </c>
      <c r="P39" s="8" t="s">
        <v>25</v>
      </c>
      <c r="Q39" s="3">
        <v>0.54200000000000004</v>
      </c>
      <c r="R39" s="4">
        <v>0.249</v>
      </c>
      <c r="S39" s="4">
        <v>0.751</v>
      </c>
      <c r="T39" s="3">
        <v>0.17</v>
      </c>
      <c r="U39" s="3">
        <v>0.33200000000000002</v>
      </c>
      <c r="V39" s="3">
        <v>9.6000000000000002E-2</v>
      </c>
      <c r="W39" s="3">
        <v>0.23599999999999999</v>
      </c>
      <c r="Z39" s="3">
        <v>0.127</v>
      </c>
      <c r="AB39">
        <v>693</v>
      </c>
      <c r="AC39">
        <v>58</v>
      </c>
      <c r="AD39" s="3">
        <v>0.627</v>
      </c>
      <c r="AE39" s="3">
        <v>0.373</v>
      </c>
      <c r="AF39">
        <v>0</v>
      </c>
      <c r="AG39">
        <v>3</v>
      </c>
      <c r="AJ39">
        <v>3</v>
      </c>
      <c r="AK39">
        <f>AB39/AJ39/100</f>
        <v>2.31</v>
      </c>
      <c r="AL39" s="4">
        <v>0.35</v>
      </c>
      <c r="AM39" s="4">
        <v>0.65</v>
      </c>
      <c r="AN39" s="9" t="s">
        <v>88</v>
      </c>
    </row>
    <row r="40" spans="1:40" ht="43.5" x14ac:dyDescent="0.35">
      <c r="A40" t="s">
        <v>132</v>
      </c>
      <c r="B40" t="s">
        <v>35</v>
      </c>
      <c r="C40" t="s">
        <v>155</v>
      </c>
      <c r="D40" t="s">
        <v>133</v>
      </c>
      <c r="E40" t="s">
        <v>20</v>
      </c>
      <c r="G40" s="5">
        <v>9.166666666666666E-2</v>
      </c>
      <c r="H40">
        <v>40</v>
      </c>
      <c r="I40">
        <v>4</v>
      </c>
      <c r="J40">
        <v>11</v>
      </c>
      <c r="K40">
        <v>5</v>
      </c>
      <c r="L40">
        <v>1906</v>
      </c>
      <c r="O40" s="8" t="s">
        <v>134</v>
      </c>
      <c r="P40" s="8" t="s">
        <v>135</v>
      </c>
      <c r="Q40" s="3">
        <v>0.61599999999999999</v>
      </c>
      <c r="R40" s="3">
        <v>0.10299999999999999</v>
      </c>
      <c r="S40" s="3">
        <v>0.89700000000000002</v>
      </c>
      <c r="T40" s="4">
        <v>7.0000000000000007E-2</v>
      </c>
      <c r="U40" s="3">
        <v>0.45900000000000002</v>
      </c>
      <c r="V40" s="3">
        <v>0.106</v>
      </c>
      <c r="W40" s="4">
        <v>0.05</v>
      </c>
      <c r="Z40" s="3">
        <v>0.30299999999999999</v>
      </c>
      <c r="AB40">
        <v>1424</v>
      </c>
      <c r="AC40">
        <v>60</v>
      </c>
      <c r="AD40" s="3">
        <v>0.43099999999999999</v>
      </c>
      <c r="AE40" s="3">
        <v>0.56899999999999995</v>
      </c>
      <c r="AG40">
        <v>1</v>
      </c>
      <c r="AJ40">
        <v>1</v>
      </c>
      <c r="AK40">
        <f>AB40/AJ40/100</f>
        <v>14.24</v>
      </c>
      <c r="AL40" s="3">
        <v>0.34100000000000003</v>
      </c>
      <c r="AM40" s="3">
        <v>0.65900000000000003</v>
      </c>
      <c r="AN40" s="9" t="s">
        <v>88</v>
      </c>
    </row>
    <row r="41" spans="1:40" ht="43.5" x14ac:dyDescent="0.35">
      <c r="A41" t="s">
        <v>136</v>
      </c>
      <c r="B41" t="s">
        <v>34</v>
      </c>
      <c r="C41" t="s">
        <v>154</v>
      </c>
      <c r="D41" t="s">
        <v>137</v>
      </c>
      <c r="E41" t="s">
        <v>51</v>
      </c>
      <c r="F41" s="2">
        <v>0.70833333333333337</v>
      </c>
      <c r="H41">
        <v>20</v>
      </c>
      <c r="I41">
        <v>0</v>
      </c>
      <c r="J41">
        <v>1</v>
      </c>
      <c r="K41">
        <v>2</v>
      </c>
      <c r="L41">
        <v>751</v>
      </c>
      <c r="R41" s="3">
        <v>0.36499999999999999</v>
      </c>
      <c r="S41" s="3">
        <v>0.63500000000000001</v>
      </c>
      <c r="T41" s="3">
        <v>0.504</v>
      </c>
      <c r="V41" s="3">
        <v>0.20100000000000001</v>
      </c>
      <c r="W41" s="3">
        <v>0.26500000000000001</v>
      </c>
      <c r="Z41" s="3">
        <v>1E-3</v>
      </c>
      <c r="AB41">
        <v>187</v>
      </c>
      <c r="AC41">
        <v>23</v>
      </c>
      <c r="AD41" s="3">
        <v>0.625</v>
      </c>
      <c r="AE41" s="3">
        <v>0.375</v>
      </c>
      <c r="AG41">
        <v>14</v>
      </c>
      <c r="AH41">
        <v>13</v>
      </c>
      <c r="AI41">
        <v>1</v>
      </c>
      <c r="AJ41">
        <v>0</v>
      </c>
      <c r="AL41" s="3">
        <v>0.53600000000000003</v>
      </c>
      <c r="AM41" s="3">
        <v>0.46400000000000002</v>
      </c>
      <c r="AN41" s="9" t="s">
        <v>88</v>
      </c>
    </row>
    <row r="42" spans="1:40" ht="43.5" x14ac:dyDescent="0.35">
      <c r="A42" t="s">
        <v>138</v>
      </c>
      <c r="B42" t="s">
        <v>35</v>
      </c>
      <c r="C42" t="s">
        <v>155</v>
      </c>
      <c r="D42" t="s">
        <v>139</v>
      </c>
      <c r="E42" t="s">
        <v>18</v>
      </c>
      <c r="G42" s="5">
        <v>6.1805555555555558E-2</v>
      </c>
      <c r="H42">
        <v>13</v>
      </c>
      <c r="I42">
        <v>0</v>
      </c>
      <c r="J42">
        <v>1</v>
      </c>
      <c r="K42">
        <v>1</v>
      </c>
      <c r="L42">
        <v>556</v>
      </c>
      <c r="M42">
        <v>555</v>
      </c>
      <c r="N42">
        <v>1</v>
      </c>
      <c r="O42" s="8" t="s">
        <v>140</v>
      </c>
      <c r="P42" s="8" t="s">
        <v>141</v>
      </c>
      <c r="Q42" s="4">
        <v>0.43</v>
      </c>
      <c r="R42" s="4">
        <v>0.32</v>
      </c>
      <c r="S42" s="4">
        <v>0.68</v>
      </c>
      <c r="T42" s="3">
        <v>0.186</v>
      </c>
      <c r="U42" s="3">
        <v>0.23799999999999999</v>
      </c>
      <c r="V42" s="4">
        <v>0.22</v>
      </c>
      <c r="W42" s="4">
        <v>0.19</v>
      </c>
      <c r="Z42" s="3">
        <v>0.123</v>
      </c>
      <c r="AB42">
        <v>310</v>
      </c>
      <c r="AC42">
        <v>15</v>
      </c>
      <c r="AD42" s="3">
        <v>0.81299999999999994</v>
      </c>
      <c r="AE42" s="3">
        <v>0.188</v>
      </c>
      <c r="AG42">
        <v>0</v>
      </c>
      <c r="AJ42">
        <v>0</v>
      </c>
      <c r="AL42" s="3">
        <v>0.40799999999999997</v>
      </c>
      <c r="AM42" s="3">
        <v>0.59199999999999997</v>
      </c>
      <c r="AN42" s="9" t="s">
        <v>88</v>
      </c>
    </row>
    <row r="43" spans="1:40" ht="43.5" x14ac:dyDescent="0.35">
      <c r="A43" t="s">
        <v>142</v>
      </c>
      <c r="B43" t="s">
        <v>35</v>
      </c>
      <c r="C43" t="s">
        <v>159</v>
      </c>
      <c r="D43" t="s">
        <v>143</v>
      </c>
      <c r="E43" t="s">
        <v>58</v>
      </c>
      <c r="G43" s="5">
        <v>9.7222222222222224E-3</v>
      </c>
      <c r="H43">
        <v>20</v>
      </c>
      <c r="I43">
        <v>2</v>
      </c>
      <c r="J43">
        <v>4</v>
      </c>
      <c r="K43">
        <v>3</v>
      </c>
      <c r="L43">
        <v>846</v>
      </c>
      <c r="M43">
        <v>846</v>
      </c>
      <c r="N43">
        <v>0</v>
      </c>
      <c r="O43" s="8" t="s">
        <v>144</v>
      </c>
      <c r="P43" s="8" t="s">
        <v>42</v>
      </c>
      <c r="Q43" s="3">
        <v>0.53900000000000003</v>
      </c>
      <c r="R43" s="3">
        <v>0.23300000000000001</v>
      </c>
      <c r="S43" s="3">
        <v>0.76700000000000002</v>
      </c>
      <c r="T43" s="3">
        <v>0.129</v>
      </c>
      <c r="U43" s="3">
        <v>0.44900000000000001</v>
      </c>
      <c r="V43" s="3">
        <v>0.20300000000000001</v>
      </c>
      <c r="W43" s="3">
        <v>4.2999999999999997E-2</v>
      </c>
      <c r="Z43" s="3">
        <v>0.16600000000000001</v>
      </c>
      <c r="AB43">
        <v>450</v>
      </c>
      <c r="AC43">
        <v>29</v>
      </c>
      <c r="AD43" s="3">
        <v>0.68799999999999994</v>
      </c>
      <c r="AE43" s="3">
        <v>0.313</v>
      </c>
      <c r="AF43">
        <v>0</v>
      </c>
      <c r="AG43">
        <v>0</v>
      </c>
      <c r="AJ43">
        <v>0</v>
      </c>
      <c r="AL43" s="3">
        <v>0.53200000000000003</v>
      </c>
      <c r="AM43" s="3">
        <v>0.46800000000000003</v>
      </c>
      <c r="AN43" s="9" t="s">
        <v>88</v>
      </c>
    </row>
    <row r="44" spans="1:40" x14ac:dyDescent="0.35">
      <c r="A44" t="s">
        <v>145</v>
      </c>
      <c r="B44" t="s">
        <v>35</v>
      </c>
      <c r="C44" t="s">
        <v>159</v>
      </c>
      <c r="D44" t="s">
        <v>147</v>
      </c>
      <c r="E44" t="s">
        <v>20</v>
      </c>
      <c r="G44" s="5">
        <v>6.2500000000000003E-3</v>
      </c>
    </row>
    <row r="45" spans="1:40" x14ac:dyDescent="0.35">
      <c r="A45" t="s">
        <v>146</v>
      </c>
      <c r="B45" t="s">
        <v>36</v>
      </c>
      <c r="C45" t="s">
        <v>156</v>
      </c>
      <c r="D45" t="s">
        <v>148</v>
      </c>
      <c r="E45" t="s">
        <v>51</v>
      </c>
      <c r="F45" s="2">
        <v>0.72291666666666665</v>
      </c>
    </row>
    <row r="46" spans="1:40" ht="43.5" x14ac:dyDescent="0.35">
      <c r="A46" t="s">
        <v>164</v>
      </c>
      <c r="B46" t="s">
        <v>34</v>
      </c>
      <c r="C46" t="s">
        <v>156</v>
      </c>
      <c r="D46" s="1">
        <v>45725</v>
      </c>
      <c r="E46" t="s">
        <v>20</v>
      </c>
      <c r="F46" s="2">
        <v>0.65277777777777779</v>
      </c>
      <c r="H46">
        <v>20</v>
      </c>
      <c r="I46">
        <v>5</v>
      </c>
      <c r="J46">
        <v>2</v>
      </c>
      <c r="K46">
        <v>1</v>
      </c>
      <c r="L46">
        <v>964</v>
      </c>
      <c r="R46" s="3">
        <v>0.34399999999999997</v>
      </c>
      <c r="S46" s="3">
        <v>0.65600000000000003</v>
      </c>
      <c r="T46" s="3">
        <v>0.47699999999999998</v>
      </c>
      <c r="V46" s="3">
        <v>0.186</v>
      </c>
      <c r="W46" s="3">
        <v>0.26700000000000002</v>
      </c>
      <c r="Z46" s="3">
        <v>8.0000000000000002E-3</v>
      </c>
      <c r="AB46">
        <v>212</v>
      </c>
      <c r="AC46">
        <v>28</v>
      </c>
      <c r="AD46" s="3">
        <v>0.75900000000000001</v>
      </c>
      <c r="AE46" s="3">
        <v>0.24099999999999999</v>
      </c>
      <c r="AG46">
        <v>19</v>
      </c>
      <c r="AH46">
        <v>19</v>
      </c>
      <c r="AJ46">
        <v>0</v>
      </c>
      <c r="AL46" s="3">
        <v>0.312</v>
      </c>
      <c r="AM46" s="3">
        <v>0.68799999999999994</v>
      </c>
      <c r="AN46" s="9" t="s">
        <v>88</v>
      </c>
    </row>
    <row r="47" spans="1:40" ht="43.5" x14ac:dyDescent="0.35">
      <c r="A47" t="s">
        <v>165</v>
      </c>
      <c r="B47" t="s">
        <v>36</v>
      </c>
      <c r="C47" t="s">
        <v>166</v>
      </c>
      <c r="D47" s="1">
        <v>45756</v>
      </c>
      <c r="E47" t="s">
        <v>51</v>
      </c>
      <c r="F47" s="2">
        <v>0.74444444444444446</v>
      </c>
      <c r="H47">
        <v>21</v>
      </c>
      <c r="I47">
        <v>7</v>
      </c>
      <c r="J47">
        <v>0</v>
      </c>
      <c r="K47">
        <v>0</v>
      </c>
      <c r="L47">
        <v>726</v>
      </c>
      <c r="R47" s="3">
        <v>0.47799999999999998</v>
      </c>
      <c r="S47" s="3">
        <v>0.52200000000000002</v>
      </c>
      <c r="T47" s="3">
        <v>0.49399999999999999</v>
      </c>
      <c r="V47" s="4">
        <v>0.35</v>
      </c>
      <c r="W47" s="3">
        <v>9.5000000000000001E-2</v>
      </c>
      <c r="Z47" s="3">
        <v>2.1000000000000001E-2</v>
      </c>
      <c r="AB47">
        <v>140</v>
      </c>
      <c r="AC47">
        <v>28</v>
      </c>
      <c r="AD47" s="3">
        <v>0.93500000000000005</v>
      </c>
      <c r="AE47" s="3">
        <v>6.5000000000000002E-2</v>
      </c>
      <c r="AG47">
        <v>7</v>
      </c>
      <c r="AH47">
        <v>7</v>
      </c>
      <c r="AJ47">
        <v>0</v>
      </c>
      <c r="AL47" s="3">
        <v>0.47199999999999998</v>
      </c>
      <c r="AM47" s="3">
        <v>0.52800000000000002</v>
      </c>
      <c r="AN47" s="9" t="s">
        <v>88</v>
      </c>
    </row>
    <row r="48" spans="1:40" x14ac:dyDescent="0.35">
      <c r="A48" t="s">
        <v>310</v>
      </c>
      <c r="B48" t="s">
        <v>34</v>
      </c>
      <c r="C48" t="s">
        <v>150</v>
      </c>
      <c r="D48" t="s">
        <v>313</v>
      </c>
      <c r="E48" t="s">
        <v>18</v>
      </c>
      <c r="F48" s="2">
        <v>0.7993055555555556</v>
      </c>
      <c r="H48">
        <v>8</v>
      </c>
      <c r="I48">
        <v>0</v>
      </c>
      <c r="J48">
        <v>0</v>
      </c>
      <c r="K48">
        <v>0</v>
      </c>
      <c r="L48">
        <v>402</v>
      </c>
      <c r="R48" s="4">
        <v>0.5</v>
      </c>
      <c r="S48" s="4">
        <v>0.5</v>
      </c>
      <c r="T48" s="3">
        <v>0.45500000000000002</v>
      </c>
      <c r="V48" s="3">
        <v>0.27100000000000002</v>
      </c>
      <c r="W48" s="3">
        <v>0.14699999999999999</v>
      </c>
      <c r="Z48" s="3">
        <v>7.0000000000000001E-3</v>
      </c>
      <c r="AB48">
        <v>88</v>
      </c>
      <c r="AC48">
        <v>8</v>
      </c>
      <c r="AD48" s="4">
        <v>1</v>
      </c>
      <c r="AE48" s="4">
        <v>0</v>
      </c>
      <c r="AG48">
        <v>2</v>
      </c>
      <c r="AH48">
        <v>2</v>
      </c>
      <c r="AJ48">
        <v>0</v>
      </c>
    </row>
    <row r="49" spans="1:36" x14ac:dyDescent="0.35">
      <c r="A49" t="s">
        <v>311</v>
      </c>
      <c r="B49" t="s">
        <v>34</v>
      </c>
      <c r="C49" t="s">
        <v>150</v>
      </c>
      <c r="D49" t="s">
        <v>314</v>
      </c>
      <c r="E49" t="s">
        <v>51</v>
      </c>
      <c r="F49" s="2">
        <v>0.75763888888888886</v>
      </c>
      <c r="H49">
        <v>18</v>
      </c>
      <c r="I49">
        <v>3</v>
      </c>
      <c r="J49">
        <v>0</v>
      </c>
      <c r="K49">
        <v>0</v>
      </c>
      <c r="L49">
        <v>325</v>
      </c>
      <c r="R49" s="3">
        <v>0.57499999999999996</v>
      </c>
      <c r="S49" s="3">
        <v>0.42499999999999999</v>
      </c>
      <c r="T49" s="3">
        <v>0.28599999999999998</v>
      </c>
      <c r="V49" s="3">
        <v>0.434</v>
      </c>
      <c r="W49" s="3">
        <v>0.16900000000000001</v>
      </c>
      <c r="X49" s="3">
        <v>1.4999999999999999E-2</v>
      </c>
      <c r="Z49" s="3">
        <v>6.0000000000000001E-3</v>
      </c>
      <c r="AB49">
        <v>94</v>
      </c>
      <c r="AC49">
        <v>21</v>
      </c>
      <c r="AD49" s="3">
        <v>0.66700000000000004</v>
      </c>
      <c r="AE49" s="3">
        <v>0.33300000000000002</v>
      </c>
      <c r="AG49">
        <v>4</v>
      </c>
      <c r="AH49">
        <v>3</v>
      </c>
      <c r="AI49">
        <v>1</v>
      </c>
      <c r="AJ49">
        <v>0</v>
      </c>
    </row>
    <row r="50" spans="1:36" x14ac:dyDescent="0.35">
      <c r="A50" t="s">
        <v>312</v>
      </c>
      <c r="B50" t="s">
        <v>34</v>
      </c>
      <c r="C50" t="s">
        <v>150</v>
      </c>
      <c r="D50" t="s">
        <v>315</v>
      </c>
      <c r="E50" t="s">
        <v>18</v>
      </c>
      <c r="F50" s="2">
        <v>0.84722222222222221</v>
      </c>
      <c r="H50">
        <v>18</v>
      </c>
      <c r="I50">
        <v>1</v>
      </c>
      <c r="J50">
        <v>0</v>
      </c>
      <c r="K50">
        <v>0</v>
      </c>
      <c r="L50">
        <v>312</v>
      </c>
      <c r="R50" s="3">
        <v>0.65400000000000003</v>
      </c>
      <c r="S50" s="3">
        <v>0.34599999999999997</v>
      </c>
      <c r="T50" s="3">
        <v>0.17599999999999999</v>
      </c>
      <c r="V50" s="3">
        <v>0.54200000000000004</v>
      </c>
      <c r="W50" s="3">
        <v>0.13500000000000001</v>
      </c>
      <c r="Z50" s="3">
        <v>2.1999999999999999E-2</v>
      </c>
      <c r="AB50">
        <v>91</v>
      </c>
      <c r="AC50">
        <v>19</v>
      </c>
      <c r="AD50" s="4">
        <v>1</v>
      </c>
      <c r="AE50" s="4">
        <v>0</v>
      </c>
      <c r="AG50">
        <v>6</v>
      </c>
      <c r="AH50">
        <v>6</v>
      </c>
      <c r="AJ50">
        <v>0</v>
      </c>
    </row>
    <row r="51" spans="1:36" x14ac:dyDescent="0.35">
      <c r="B51" t="s">
        <v>35</v>
      </c>
    </row>
    <row r="52" spans="1:36" x14ac:dyDescent="0.35">
      <c r="B52" t="s">
        <v>35</v>
      </c>
    </row>
    <row r="53" spans="1:36" x14ac:dyDescent="0.35">
      <c r="B53" t="s">
        <v>35</v>
      </c>
    </row>
    <row r="54" spans="1:36" x14ac:dyDescent="0.35">
      <c r="B54" t="s">
        <v>35</v>
      </c>
    </row>
    <row r="55" spans="1:36" x14ac:dyDescent="0.35">
      <c r="B55" t="s">
        <v>35</v>
      </c>
    </row>
    <row r="56" spans="1:36" x14ac:dyDescent="0.35">
      <c r="B56" t="s">
        <v>35</v>
      </c>
    </row>
  </sheetData>
  <phoneticPr fontId="2" type="noConversion"/>
  <dataValidations count="4">
    <dataValidation type="list" allowBlank="1" showInputMessage="1" showErrorMessage="1" sqref="B2:B56 C51:C56" xr:uid="{9AACA1A8-66B8-43C7-8A3A-03B46B9DD174}">
      <formula1>"Static Post, Carousel Post, Reel"</formula1>
    </dataValidation>
    <dataValidation type="list" allowBlank="1" showInputMessage="1" showErrorMessage="1" sqref="C2:C8" xr:uid="{24B03818-7F7D-4372-8452-B8D1AE8A9308}">
      <formula1>"Pakistani Events, Global Events, Tech Events, Team Activities, Team Birthday, Work Anniversary, Informative, Client Testimonial"</formula1>
    </dataValidation>
    <dataValidation type="list" allowBlank="1" showInputMessage="1" showErrorMessage="1" sqref="C9:C32" xr:uid="{2D9E6552-C533-4D62-BCA3-13E49D22EFF2}">
      <formula1>"Pakistani Events, Global Events, Tech Events, Team Activities, Team Birthday, Work Anniversary, Informative, Client Testimonial, Employee Welcome"</formula1>
    </dataValidation>
    <dataValidation type="list" allowBlank="1" showInputMessage="1" showErrorMessage="1" sqref="C33:C50" xr:uid="{FB5D9140-2676-4F28-AF1D-A2E3297CB167}">
      <formula1>"Pakistani Events, Global Events, Tech Events, Team Activities, Team Birthday, Work Anniversary, Informative, Client Testimonial, Employee Welcome, Memes, Branding"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86A2-CFF9-48BC-A3BC-25AD3C3AE6D2}">
  <dimension ref="A1:A39"/>
  <sheetViews>
    <sheetView workbookViewId="0">
      <selection activeCell="A18" sqref="A18"/>
    </sheetView>
  </sheetViews>
  <sheetFormatPr defaultRowHeight="14.5" x14ac:dyDescent="0.35"/>
  <cols>
    <col min="1" max="1" width="119.7265625" customWidth="1"/>
  </cols>
  <sheetData>
    <row r="1" spans="1:1" ht="23.5" x14ac:dyDescent="0.35">
      <c r="A1" s="13" t="s">
        <v>347</v>
      </c>
    </row>
    <row r="2" spans="1:1" ht="17.5" x14ac:dyDescent="0.35">
      <c r="A2" s="14" t="s">
        <v>160</v>
      </c>
    </row>
    <row r="3" spans="1:1" x14ac:dyDescent="0.35">
      <c r="A3" s="15" t="s">
        <v>316</v>
      </c>
    </row>
    <row r="4" spans="1:1" x14ac:dyDescent="0.35">
      <c r="A4" s="16" t="s">
        <v>317</v>
      </c>
    </row>
    <row r="5" spans="1:1" x14ac:dyDescent="0.35">
      <c r="A5" s="20" t="s">
        <v>318</v>
      </c>
    </row>
    <row r="6" spans="1:1" x14ac:dyDescent="0.35">
      <c r="A6" s="16" t="s">
        <v>319</v>
      </c>
    </row>
    <row r="7" spans="1:1" x14ac:dyDescent="0.35">
      <c r="A7" s="15" t="s">
        <v>320</v>
      </c>
    </row>
    <row r="8" spans="1:1" x14ac:dyDescent="0.35">
      <c r="A8" s="15" t="s">
        <v>321</v>
      </c>
    </row>
    <row r="9" spans="1:1" ht="17.5" x14ac:dyDescent="0.35">
      <c r="A9" s="14" t="s">
        <v>322</v>
      </c>
    </row>
    <row r="10" spans="1:1" x14ac:dyDescent="0.35">
      <c r="A10" s="15" t="s">
        <v>323</v>
      </c>
    </row>
    <row r="11" spans="1:1" x14ac:dyDescent="0.35">
      <c r="A11" s="16" t="s">
        <v>662</v>
      </c>
    </row>
    <row r="12" spans="1:1" x14ac:dyDescent="0.35">
      <c r="A12" s="15" t="s">
        <v>324</v>
      </c>
    </row>
    <row r="13" spans="1:1" x14ac:dyDescent="0.35">
      <c r="A13" s="15" t="s">
        <v>325</v>
      </c>
    </row>
    <row r="14" spans="1:1" x14ac:dyDescent="0.35">
      <c r="A14" s="16" t="s">
        <v>663</v>
      </c>
    </row>
    <row r="15" spans="1:1" x14ac:dyDescent="0.35">
      <c r="A15" s="15" t="s">
        <v>326</v>
      </c>
    </row>
    <row r="16" spans="1:1" ht="17.5" x14ac:dyDescent="0.35">
      <c r="A16" s="14" t="s">
        <v>161</v>
      </c>
    </row>
    <row r="17" spans="1:1" x14ac:dyDescent="0.35">
      <c r="A17" s="15" t="s">
        <v>327</v>
      </c>
    </row>
    <row r="18" spans="1:1" x14ac:dyDescent="0.35">
      <c r="A18" s="15" t="s">
        <v>328</v>
      </c>
    </row>
    <row r="19" spans="1:1" ht="17.5" x14ac:dyDescent="0.35">
      <c r="A19" s="14" t="s">
        <v>162</v>
      </c>
    </row>
    <row r="20" spans="1:1" x14ac:dyDescent="0.35">
      <c r="A20" s="15" t="s">
        <v>329</v>
      </c>
    </row>
    <row r="21" spans="1:1" x14ac:dyDescent="0.35">
      <c r="A21" s="15" t="s">
        <v>330</v>
      </c>
    </row>
    <row r="22" spans="1:1" x14ac:dyDescent="0.35">
      <c r="A22" s="15" t="s">
        <v>331</v>
      </c>
    </row>
    <row r="23" spans="1:1" ht="17.5" x14ac:dyDescent="0.35">
      <c r="A23" s="14" t="s">
        <v>332</v>
      </c>
    </row>
    <row r="24" spans="1:1" x14ac:dyDescent="0.35">
      <c r="A24" s="15" t="s">
        <v>333</v>
      </c>
    </row>
    <row r="25" spans="1:1" x14ac:dyDescent="0.35">
      <c r="A25" s="15" t="s">
        <v>334</v>
      </c>
    </row>
    <row r="26" spans="1:1" x14ac:dyDescent="0.35">
      <c r="A26" s="15" t="s">
        <v>335</v>
      </c>
    </row>
    <row r="27" spans="1:1" ht="23.5" x14ac:dyDescent="0.35">
      <c r="A27" s="13" t="s">
        <v>163</v>
      </c>
    </row>
    <row r="28" spans="1:1" x14ac:dyDescent="0.35">
      <c r="A28" s="15" t="s">
        <v>336</v>
      </c>
    </row>
    <row r="29" spans="1:1" x14ac:dyDescent="0.35">
      <c r="A29" s="15" t="s">
        <v>337</v>
      </c>
    </row>
    <row r="30" spans="1:1" x14ac:dyDescent="0.35">
      <c r="A30" s="15" t="s">
        <v>338</v>
      </c>
    </row>
    <row r="31" spans="1:1" x14ac:dyDescent="0.35">
      <c r="A31" s="15" t="s">
        <v>339</v>
      </c>
    </row>
    <row r="32" spans="1:1" x14ac:dyDescent="0.35">
      <c r="A32" s="15" t="s">
        <v>340</v>
      </c>
    </row>
    <row r="33" spans="1:1" x14ac:dyDescent="0.35">
      <c r="A33" s="19" t="s">
        <v>341</v>
      </c>
    </row>
    <row r="34" spans="1:1" x14ac:dyDescent="0.35">
      <c r="A34" s="19" t="s">
        <v>342</v>
      </c>
    </row>
    <row r="35" spans="1:1" x14ac:dyDescent="0.35">
      <c r="A35" s="19" t="s">
        <v>343</v>
      </c>
    </row>
    <row r="36" spans="1:1" ht="23.5" x14ac:dyDescent="0.35">
      <c r="A36" s="13" t="s">
        <v>348</v>
      </c>
    </row>
    <row r="37" spans="1:1" x14ac:dyDescent="0.35">
      <c r="A37" t="s">
        <v>344</v>
      </c>
    </row>
    <row r="38" spans="1:1" x14ac:dyDescent="0.35">
      <c r="A38" t="s">
        <v>345</v>
      </c>
    </row>
    <row r="39" spans="1:1" x14ac:dyDescent="0.35">
      <c r="A39" t="s">
        <v>346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02812-AD0E-4A6D-868E-AE379207E6FD}">
  <dimension ref="A1:K17"/>
  <sheetViews>
    <sheetView tabSelected="1" workbookViewId="0">
      <selection activeCell="E14" sqref="E14"/>
    </sheetView>
  </sheetViews>
  <sheetFormatPr defaultRowHeight="14.5" x14ac:dyDescent="0.35"/>
  <cols>
    <col min="1" max="1" width="18.81640625" customWidth="1"/>
    <col min="2" max="7" width="8.7265625" customWidth="1"/>
    <col min="11" max="11" width="19.26953125" customWidth="1"/>
  </cols>
  <sheetData>
    <row r="1" spans="1:11" x14ac:dyDescent="0.35">
      <c r="A1" s="18" t="s">
        <v>681</v>
      </c>
      <c r="B1" s="18" t="s">
        <v>673</v>
      </c>
      <c r="C1" s="18" t="s">
        <v>674</v>
      </c>
      <c r="D1" s="18" t="s">
        <v>350</v>
      </c>
      <c r="E1" s="18" t="s">
        <v>675</v>
      </c>
      <c r="F1" s="18" t="s">
        <v>676</v>
      </c>
      <c r="G1" s="18" t="s">
        <v>171</v>
      </c>
      <c r="H1" s="18" t="s">
        <v>677</v>
      </c>
      <c r="I1" s="18" t="s">
        <v>3</v>
      </c>
      <c r="J1" s="18" t="s">
        <v>174</v>
      </c>
      <c r="K1" s="18" t="s">
        <v>678</v>
      </c>
    </row>
    <row r="2" spans="1:11" x14ac:dyDescent="0.35">
      <c r="A2" s="18" t="s">
        <v>664</v>
      </c>
      <c r="B2">
        <v>348</v>
      </c>
      <c r="C2" s="11">
        <v>8043</v>
      </c>
      <c r="D2" s="11">
        <v>2600</v>
      </c>
      <c r="E2">
        <v>970</v>
      </c>
      <c r="F2">
        <v>1</v>
      </c>
      <c r="G2" s="11">
        <v>20695</v>
      </c>
      <c r="H2">
        <v>376</v>
      </c>
      <c r="I2">
        <v>83</v>
      </c>
      <c r="J2">
        <v>3</v>
      </c>
      <c r="K2">
        <f>SUM(B2:B10)</f>
        <v>6516</v>
      </c>
    </row>
    <row r="3" spans="1:11" x14ac:dyDescent="0.35">
      <c r="A3" s="18" t="s">
        <v>665</v>
      </c>
      <c r="B3" s="11">
        <v>558</v>
      </c>
      <c r="C3" s="11">
        <v>8601</v>
      </c>
      <c r="D3" s="11">
        <v>3523</v>
      </c>
      <c r="E3" s="11">
        <v>1438</v>
      </c>
      <c r="F3" s="11">
        <v>0</v>
      </c>
      <c r="G3" s="11">
        <v>11890</v>
      </c>
      <c r="H3" s="11">
        <v>175</v>
      </c>
      <c r="I3" s="11">
        <v>14</v>
      </c>
      <c r="J3" s="11">
        <v>4</v>
      </c>
    </row>
    <row r="4" spans="1:11" x14ac:dyDescent="0.35">
      <c r="A4" s="18" t="s">
        <v>666</v>
      </c>
      <c r="B4" s="11">
        <v>622</v>
      </c>
      <c r="C4" s="11">
        <v>9223</v>
      </c>
      <c r="D4" s="11">
        <v>4371</v>
      </c>
      <c r="E4" s="11">
        <v>1809</v>
      </c>
      <c r="F4" s="11">
        <v>0</v>
      </c>
      <c r="G4" s="11">
        <v>18072</v>
      </c>
      <c r="H4" s="11">
        <v>361</v>
      </c>
      <c r="I4" s="11">
        <v>21</v>
      </c>
      <c r="J4" s="11">
        <v>4</v>
      </c>
    </row>
    <row r="5" spans="1:11" x14ac:dyDescent="0.35">
      <c r="A5" s="18" t="s">
        <v>667</v>
      </c>
      <c r="B5">
        <v>614</v>
      </c>
      <c r="C5" s="11">
        <v>9837</v>
      </c>
      <c r="D5" s="11">
        <v>4255</v>
      </c>
      <c r="E5" s="11">
        <v>1682</v>
      </c>
      <c r="F5">
        <v>0</v>
      </c>
      <c r="G5" s="11">
        <v>14790</v>
      </c>
      <c r="H5" s="11">
        <v>233</v>
      </c>
      <c r="I5" s="11">
        <v>6</v>
      </c>
      <c r="J5" s="11">
        <v>2</v>
      </c>
    </row>
    <row r="6" spans="1:11" x14ac:dyDescent="0.35">
      <c r="A6" s="18" t="s">
        <v>668</v>
      </c>
      <c r="B6">
        <v>366</v>
      </c>
      <c r="C6" s="11">
        <v>10203</v>
      </c>
      <c r="D6" s="11">
        <v>2136</v>
      </c>
      <c r="E6">
        <v>831</v>
      </c>
      <c r="F6">
        <v>1</v>
      </c>
      <c r="G6" s="11">
        <v>8270</v>
      </c>
      <c r="H6">
        <v>107</v>
      </c>
      <c r="I6">
        <v>9</v>
      </c>
      <c r="J6" s="11">
        <v>1</v>
      </c>
    </row>
    <row r="7" spans="1:11" x14ac:dyDescent="0.35">
      <c r="A7" s="18" t="s">
        <v>669</v>
      </c>
      <c r="B7" s="11">
        <v>797</v>
      </c>
      <c r="C7" s="11">
        <v>11000</v>
      </c>
      <c r="D7" s="11">
        <v>4831</v>
      </c>
      <c r="E7" s="11">
        <v>1931</v>
      </c>
      <c r="F7" s="11">
        <v>1</v>
      </c>
      <c r="G7" s="11">
        <v>12544</v>
      </c>
      <c r="H7" s="11">
        <v>142</v>
      </c>
      <c r="I7" s="11">
        <v>14</v>
      </c>
      <c r="J7" s="11">
        <v>1</v>
      </c>
    </row>
    <row r="8" spans="1:11" x14ac:dyDescent="0.35">
      <c r="A8" s="18" t="s">
        <v>670</v>
      </c>
      <c r="B8">
        <v>1501</v>
      </c>
      <c r="C8" s="11">
        <v>12501</v>
      </c>
      <c r="D8" s="11">
        <v>7100</v>
      </c>
      <c r="E8" s="11">
        <v>2829</v>
      </c>
      <c r="F8">
        <v>7</v>
      </c>
      <c r="G8" s="11">
        <v>13422</v>
      </c>
      <c r="H8">
        <v>144</v>
      </c>
      <c r="I8">
        <v>14</v>
      </c>
      <c r="J8">
        <v>3</v>
      </c>
    </row>
    <row r="9" spans="1:11" x14ac:dyDescent="0.35">
      <c r="A9" s="18" t="s">
        <v>671</v>
      </c>
      <c r="B9">
        <v>1188</v>
      </c>
      <c r="C9" s="11">
        <v>13689</v>
      </c>
      <c r="D9" s="11">
        <v>6880</v>
      </c>
      <c r="E9" s="11">
        <v>2772</v>
      </c>
      <c r="F9">
        <v>4</v>
      </c>
      <c r="G9" s="11">
        <v>37011</v>
      </c>
      <c r="H9">
        <v>468</v>
      </c>
      <c r="I9">
        <v>86</v>
      </c>
      <c r="J9">
        <v>3</v>
      </c>
    </row>
    <row r="10" spans="1:11" x14ac:dyDescent="0.35">
      <c r="A10" s="18" t="s">
        <v>672</v>
      </c>
      <c r="B10">
        <v>522</v>
      </c>
      <c r="C10" s="11">
        <v>14211</v>
      </c>
      <c r="D10" s="11">
        <v>3024</v>
      </c>
      <c r="E10" s="11">
        <v>1225</v>
      </c>
      <c r="F10">
        <v>2</v>
      </c>
      <c r="G10" s="11">
        <v>16731</v>
      </c>
      <c r="H10">
        <v>172</v>
      </c>
      <c r="I10">
        <v>23</v>
      </c>
      <c r="J10">
        <v>1</v>
      </c>
    </row>
    <row r="17" spans="1:1" x14ac:dyDescent="0.35">
      <c r="A17" s="9"/>
    </row>
  </sheetData>
  <phoneticPr fontId="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4399-D994-4789-8761-C3DFB93F317C}">
  <dimension ref="A1:K4"/>
  <sheetViews>
    <sheetView workbookViewId="0">
      <selection activeCell="B9" sqref="B9"/>
    </sheetView>
  </sheetViews>
  <sheetFormatPr defaultRowHeight="14.5" x14ac:dyDescent="0.35"/>
  <sheetData>
    <row r="1" spans="1:11" x14ac:dyDescent="0.35">
      <c r="A1" s="18" t="s">
        <v>681</v>
      </c>
      <c r="B1" s="18" t="s">
        <v>674</v>
      </c>
      <c r="C1" s="18" t="s">
        <v>680</v>
      </c>
      <c r="D1" s="18" t="s">
        <v>12</v>
      </c>
      <c r="E1" s="18" t="s">
        <v>679</v>
      </c>
      <c r="F1" s="18" t="s">
        <v>6</v>
      </c>
      <c r="G1" s="18" t="s">
        <v>16</v>
      </c>
      <c r="H1" s="18" t="s">
        <v>7</v>
      </c>
      <c r="I1" s="18" t="s">
        <v>8</v>
      </c>
      <c r="J1" s="18" t="s">
        <v>11</v>
      </c>
      <c r="K1" s="18" t="s">
        <v>30</v>
      </c>
    </row>
    <row r="2" spans="1:11" x14ac:dyDescent="0.35">
      <c r="A2" s="18" t="s">
        <v>670</v>
      </c>
      <c r="B2">
        <v>150</v>
      </c>
      <c r="C2">
        <v>3</v>
      </c>
      <c r="D2">
        <v>10</v>
      </c>
      <c r="E2">
        <v>7</v>
      </c>
      <c r="F2" s="11">
        <v>3289</v>
      </c>
      <c r="G2">
        <v>480</v>
      </c>
      <c r="H2">
        <v>60</v>
      </c>
      <c r="I2">
        <v>227</v>
      </c>
      <c r="J2">
        <v>223</v>
      </c>
      <c r="K2">
        <v>4</v>
      </c>
    </row>
    <row r="3" spans="1:11" x14ac:dyDescent="0.35">
      <c r="A3" s="18" t="s">
        <v>671</v>
      </c>
      <c r="B3">
        <v>153</v>
      </c>
      <c r="C3">
        <v>14</v>
      </c>
      <c r="D3">
        <v>21</v>
      </c>
      <c r="E3">
        <v>7</v>
      </c>
      <c r="F3" s="11">
        <v>22282</v>
      </c>
      <c r="G3" s="11">
        <v>6526</v>
      </c>
      <c r="H3">
        <v>707</v>
      </c>
      <c r="I3">
        <v>686</v>
      </c>
      <c r="J3">
        <v>676</v>
      </c>
      <c r="K3">
        <v>10</v>
      </c>
    </row>
    <row r="4" spans="1:11" x14ac:dyDescent="0.35">
      <c r="A4" s="18" t="s">
        <v>672</v>
      </c>
      <c r="B4">
        <v>167</v>
      </c>
      <c r="C4">
        <v>1</v>
      </c>
      <c r="D4">
        <v>8</v>
      </c>
      <c r="E4">
        <v>7</v>
      </c>
      <c r="F4" s="11">
        <v>9522</v>
      </c>
      <c r="G4">
        <v>440</v>
      </c>
      <c r="H4">
        <v>120</v>
      </c>
      <c r="I4">
        <v>315</v>
      </c>
      <c r="J4">
        <v>310</v>
      </c>
      <c r="K4">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5C5868-32E6-47BA-B968-A3C67B9E4A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LinkedIn Posts</vt:lpstr>
      <vt:lpstr>LinkedIn Metrics</vt:lpstr>
      <vt:lpstr>Insights from LinkedIn Data</vt:lpstr>
      <vt:lpstr>Instagram</vt:lpstr>
      <vt:lpstr>Insights from Instagarm Data</vt:lpstr>
      <vt:lpstr>LinkedIn Analytics</vt:lpstr>
      <vt:lpstr>Instagram Analytics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Laiba Masood</dc:creator>
  <cp:lastModifiedBy>Laiba Masood</cp:lastModifiedBy>
  <dcterms:created xsi:type="dcterms:W3CDTF">2025-08-21T07:02:04Z</dcterms:created>
  <dcterms:modified xsi:type="dcterms:W3CDTF">2025-10-03T07:27:03Z</dcterms:modified>
</cp:coreProperties>
</file>